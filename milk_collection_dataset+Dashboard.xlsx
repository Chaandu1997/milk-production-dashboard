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68B0D051-86E8-4BE4-B075-BA042DA7E255}" xr6:coauthVersionLast="47" xr6:coauthVersionMax="47" xr10:uidLastSave="{00000000-0000-0000-0000-000000000000}"/>
  <bookViews>
    <workbookView xWindow="-108" yWindow="-108" windowWidth="23256" windowHeight="12576" activeTab="2" xr2:uid="{00000000-000D-0000-FFFF-FFFF00000000}"/>
  </bookViews>
  <sheets>
    <sheet name="Milk Production Dataset" sheetId="1" r:id="rId1"/>
    <sheet name="Summary of Data" sheetId="3" r:id="rId2"/>
    <sheet name="DashBoard" sheetId="4" r:id="rId3"/>
  </sheets>
  <definedNames>
    <definedName name="_xlnm._FilterDatabase" localSheetId="0" hidden="1">'Milk Production Dataset'!$A$1:$J$301</definedName>
    <definedName name="Slicer_Date">#N/A</definedName>
    <definedName name="Slicer_Farmer_full__Name">#N/A</definedName>
    <definedName name="Slicer_Villag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alcChain>
</file>

<file path=xl/sharedStrings.xml><?xml version="1.0" encoding="utf-8"?>
<sst xmlns="http://schemas.openxmlformats.org/spreadsheetml/2006/main" count="948" uniqueCount="60">
  <si>
    <t>Date</t>
  </si>
  <si>
    <t>FarmerID</t>
  </si>
  <si>
    <t>Farmer Name</t>
  </si>
  <si>
    <t>Village</t>
  </si>
  <si>
    <t>Quantity (L)</t>
  </si>
  <si>
    <t>Fat %</t>
  </si>
  <si>
    <t>SNF %</t>
  </si>
  <si>
    <t>Amount (₹)</t>
  </si>
  <si>
    <t>F001</t>
  </si>
  <si>
    <t>F002</t>
  </si>
  <si>
    <t>F003</t>
  </si>
  <si>
    <t>F004</t>
  </si>
  <si>
    <t>F005</t>
  </si>
  <si>
    <t>F006</t>
  </si>
  <si>
    <t>F007</t>
  </si>
  <si>
    <t>F008</t>
  </si>
  <si>
    <t>F009</t>
  </si>
  <si>
    <t>F010</t>
  </si>
  <si>
    <t>Ramesh</t>
  </si>
  <si>
    <t>Lakshmi</t>
  </si>
  <si>
    <t>Manjunath</t>
  </si>
  <si>
    <t>Suresh</t>
  </si>
  <si>
    <t>Geetha</t>
  </si>
  <si>
    <t>Anand</t>
  </si>
  <si>
    <t>Savitha</t>
  </si>
  <si>
    <t>Prakash</t>
  </si>
  <si>
    <t>Meena</t>
  </si>
  <si>
    <t>Ravi</t>
  </si>
  <si>
    <t>Hosur</t>
  </si>
  <si>
    <t>Tumkur</t>
  </si>
  <si>
    <t>Mandya</t>
  </si>
  <si>
    <t>Kolar</t>
  </si>
  <si>
    <t>Mysuru</t>
  </si>
  <si>
    <t>Chitradurga</t>
  </si>
  <si>
    <t>Davangere</t>
  </si>
  <si>
    <t>Shimoga</t>
  </si>
  <si>
    <t>Hassan</t>
  </si>
  <si>
    <t>Chikkamagaluru</t>
  </si>
  <si>
    <t>Price Per Liter(₹)</t>
  </si>
  <si>
    <t>Farmer full  Name</t>
  </si>
  <si>
    <t>Grand Total</t>
  </si>
  <si>
    <t>Sum of Quantity (L)</t>
  </si>
  <si>
    <t>Milk Trend</t>
  </si>
  <si>
    <t>Villege Wise Quantity of milk production</t>
  </si>
  <si>
    <t>F001Ramesh</t>
  </si>
  <si>
    <t>F002Lakshmi</t>
  </si>
  <si>
    <t>F003Manjunath</t>
  </si>
  <si>
    <t>F004Suresh</t>
  </si>
  <si>
    <t>F005Geetha</t>
  </si>
  <si>
    <t>F006Anand</t>
  </si>
  <si>
    <t>F007Savitha</t>
  </si>
  <si>
    <t>F008Prakash</t>
  </si>
  <si>
    <t>F009Meena</t>
  </si>
  <si>
    <t>F010Ravi</t>
  </si>
  <si>
    <t>Top Formers</t>
  </si>
  <si>
    <t>Average of Fat %</t>
  </si>
  <si>
    <t>Average of SNF %</t>
  </si>
  <si>
    <t>Milk Production Dashboard</t>
  </si>
  <si>
    <t>Sum of Amount (₹)</t>
  </si>
  <si>
    <t>Average of Price Per Liter(₹)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</si>
</sst>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 [$₹-4009]\ * #,##0.00_ ;_ [$₹-4009]\ * \-#,##0.00_ ;_ [$₹-4009]\ * &quot;-&quot;??_ ;_ @_ "/>
  </numFmts>
  <fonts count="4" x14ac:knownFonts="1">
    <font>
      <sz val="11"/>
      <color theme="1"/>
      <name val="Calibri"/>
      <family val="2"/>
      <scheme val="minor"/>
    </font>
    <font>
      <b/>
      <sz val="11"/>
      <color theme="1"/>
      <name val="Calibri"/>
      <family val="2"/>
      <scheme val="minor"/>
    </font>
    <font>
      <sz val="11"/>
      <color theme="1"/>
      <name val="Aptos Narrow"/>
      <family val="2"/>
    </font>
    <font>
      <b/>
      <sz val="18"/>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64" fontId="0" fillId="0" borderId="0" xfId="0" applyNumberFormat="1"/>
    <xf numFmtId="165" fontId="0" fillId="0" borderId="0" xfId="0" applyNumberFormat="1"/>
    <xf numFmtId="0" fontId="2" fillId="0" borderId="0" xfId="0" applyFont="1"/>
    <xf numFmtId="2" fontId="0" fillId="0" borderId="0" xfId="0" applyNumberFormat="1"/>
    <xf numFmtId="0" fontId="1" fillId="2" borderId="1" xfId="0" applyFont="1" applyFill="1" applyBorder="1" applyAlignment="1">
      <alignment horizontal="center" vertical="top"/>
    </xf>
    <xf numFmtId="0" fontId="1" fillId="2" borderId="0" xfId="0" applyFont="1" applyFill="1"/>
    <xf numFmtId="0" fontId="0" fillId="0" borderId="0" xfId="0" applyNumberFormat="1"/>
    <xf numFmtId="0" fontId="0" fillId="0" borderId="0" xfId="0" pivotButton="1"/>
    <xf numFmtId="0" fontId="0" fillId="4" borderId="0" xfId="0" applyFill="1"/>
    <xf numFmtId="0" fontId="1" fillId="3"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center"/>
    </xf>
  </cellXfs>
  <cellStyles count="1">
    <cellStyle name="Normal" xfId="0" builtinId="0"/>
  </cellStyles>
  <dxfs count="3">
    <dxf>
      <numFmt numFmtId="2" formatCode="0.00"/>
    </dxf>
    <dxf>
      <numFmt numFmtId="164" formatCode="yyyy\-mm\-dd"/>
    </dxf>
    <dxf>
      <font>
        <b/>
        <i val="0"/>
        <strike val="0"/>
        <condense val="0"/>
        <extend val="0"/>
        <outline val="0"/>
        <shadow val="0"/>
        <u val="none"/>
        <vertAlign val="baseline"/>
        <sz val="11"/>
        <color theme="1"/>
        <name val="Calibri"/>
        <family val="2"/>
        <scheme val="minor"/>
      </font>
      <fill>
        <patternFill patternType="solid">
          <fgColor indexed="64"/>
          <bgColor theme="3"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[milk_collection_data.xlsx]Summary of Data!PivotTable1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Milk Trend</a:t>
            </a:r>
          </a:p>
        </c:rich>
      </c:tx>
      <c:layout>
        <c:manualLayout>
          <c:xMode val="edge"/>
          <c:yMode val="edge"/>
          <c:x val="0.45603213704432205"/>
          <c:y val="8.22525860737995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of Data'!$B$3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'Summary of Data'!$A$4:$A$34</c:f>
              <c:strCache>
                <c:ptCount val="30"/>
                <c:pt idx="0">
                  <c:v>2025-09-01</c:v>
                </c:pt>
                <c:pt idx="1">
                  <c:v>2025-09-02</c:v>
                </c:pt>
                <c:pt idx="2">
                  <c:v>2025-09-03</c:v>
                </c:pt>
                <c:pt idx="3">
                  <c:v>2025-09-04</c:v>
                </c:pt>
                <c:pt idx="4">
                  <c:v>2025-09-05</c:v>
                </c:pt>
                <c:pt idx="5">
                  <c:v>2025-09-06</c:v>
                </c:pt>
                <c:pt idx="6">
                  <c:v>2025-09-07</c:v>
                </c:pt>
                <c:pt idx="7">
                  <c:v>2025-09-08</c:v>
                </c:pt>
                <c:pt idx="8">
                  <c:v>2025-09-09</c:v>
                </c:pt>
                <c:pt idx="9">
                  <c:v>2025-09-10</c:v>
                </c:pt>
                <c:pt idx="10">
                  <c:v>2025-09-11</c:v>
                </c:pt>
                <c:pt idx="11">
                  <c:v>2025-09-12</c:v>
                </c:pt>
                <c:pt idx="12">
                  <c:v>2025-09-13</c:v>
                </c:pt>
                <c:pt idx="13">
                  <c:v>2025-09-14</c:v>
                </c:pt>
                <c:pt idx="14">
                  <c:v>2025-09-15</c:v>
                </c:pt>
                <c:pt idx="15">
                  <c:v>2025-09-16</c:v>
                </c:pt>
                <c:pt idx="16">
                  <c:v>2025-09-17</c:v>
                </c:pt>
                <c:pt idx="17">
                  <c:v>2025-09-18</c:v>
                </c:pt>
                <c:pt idx="18">
                  <c:v>2025-09-19</c:v>
                </c:pt>
                <c:pt idx="19">
                  <c:v>2025-09-20</c:v>
                </c:pt>
                <c:pt idx="20">
                  <c:v>2025-09-21</c:v>
                </c:pt>
                <c:pt idx="21">
                  <c:v>2025-09-22</c:v>
                </c:pt>
                <c:pt idx="22">
                  <c:v>2025-09-23</c:v>
                </c:pt>
                <c:pt idx="23">
                  <c:v>2025-09-24</c:v>
                </c:pt>
                <c:pt idx="24">
                  <c:v>2025-09-25</c:v>
                </c:pt>
                <c:pt idx="25">
                  <c:v>2025-09-26</c:v>
                </c:pt>
                <c:pt idx="26">
                  <c:v>2025-09-27</c:v>
                </c:pt>
                <c:pt idx="27">
                  <c:v>2025-09-28</c:v>
                </c:pt>
                <c:pt idx="28">
                  <c:v>2025-09-29</c:v>
                </c:pt>
                <c:pt idx="29">
                  <c:v>2025-09-30</c:v>
                </c:pt>
              </c:strCache>
            </c:strRef>
          </c:cat>
          <c:val>
            <c:numRef>
              <c:f>'Summary of Data'!$B$4:$B$34</c:f>
              <c:numCache>
                <c:formatCode>General</c:formatCode>
                <c:ptCount val="30"/>
                <c:pt idx="0">
                  <c:v>99.429999999999993</c:v>
                </c:pt>
                <c:pt idx="1">
                  <c:v>119.82</c:v>
                </c:pt>
                <c:pt idx="2">
                  <c:v>125.97</c:v>
                </c:pt>
                <c:pt idx="3">
                  <c:v>106.72000000000001</c:v>
                </c:pt>
                <c:pt idx="4">
                  <c:v>133.16</c:v>
                </c:pt>
                <c:pt idx="5">
                  <c:v>139.36999999999998</c:v>
                </c:pt>
                <c:pt idx="6">
                  <c:v>133.38000000000002</c:v>
                </c:pt>
                <c:pt idx="7">
                  <c:v>106.19</c:v>
                </c:pt>
                <c:pt idx="8">
                  <c:v>115.18</c:v>
                </c:pt>
                <c:pt idx="9">
                  <c:v>139.37000000000003</c:v>
                </c:pt>
                <c:pt idx="10">
                  <c:v>118.67</c:v>
                </c:pt>
                <c:pt idx="11">
                  <c:v>145.42000000000002</c:v>
                </c:pt>
                <c:pt idx="12">
                  <c:v>119.91000000000001</c:v>
                </c:pt>
                <c:pt idx="13">
                  <c:v>137.05999999999997</c:v>
                </c:pt>
                <c:pt idx="14">
                  <c:v>108.95</c:v>
                </c:pt>
                <c:pt idx="15">
                  <c:v>132.75</c:v>
                </c:pt>
                <c:pt idx="16">
                  <c:v>119.77000000000001</c:v>
                </c:pt>
                <c:pt idx="17">
                  <c:v>102.82</c:v>
                </c:pt>
                <c:pt idx="18">
                  <c:v>123.83</c:v>
                </c:pt>
                <c:pt idx="19">
                  <c:v>125.13999999999999</c:v>
                </c:pt>
                <c:pt idx="20">
                  <c:v>107.35999999999999</c:v>
                </c:pt>
                <c:pt idx="21">
                  <c:v>145.76999999999998</c:v>
                </c:pt>
                <c:pt idx="22">
                  <c:v>124.71</c:v>
                </c:pt>
                <c:pt idx="23">
                  <c:v>105.03999999999999</c:v>
                </c:pt>
                <c:pt idx="24">
                  <c:v>114.69</c:v>
                </c:pt>
                <c:pt idx="25">
                  <c:v>129.26</c:v>
                </c:pt>
                <c:pt idx="26">
                  <c:v>125.29</c:v>
                </c:pt>
                <c:pt idx="27">
                  <c:v>113.76</c:v>
                </c:pt>
                <c:pt idx="28">
                  <c:v>140.97000000000003</c:v>
                </c:pt>
                <c:pt idx="29">
                  <c:v>149.69</c:v>
                </c:pt>
              </c:numCache>
            </c:numRef>
          </c:val>
          <c:smooth val="0"/>
          <c:extLst>
            <c:ext xmlns:c16="http://schemas.microsoft.com/office/drawing/2014/chart" uri="{C3380CC4-5D6E-409C-BE32-E72D297353CC}">
              <c16:uniqueId val="{00000000-1B35-464F-BE0D-AC16AD05A2B4}"/>
            </c:ext>
          </c:extLst>
        </c:ser>
        <c:dLbls>
          <c:showLegendKey val="0"/>
          <c:showVal val="0"/>
          <c:showCatName val="0"/>
          <c:showSerName val="0"/>
          <c:showPercent val="0"/>
          <c:showBubbleSize val="0"/>
        </c:dLbls>
        <c:marker val="1"/>
        <c:smooth val="0"/>
        <c:axId val="205190640"/>
        <c:axId val="205188240"/>
      </c:lineChart>
      <c:catAx>
        <c:axId val="2051906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88240"/>
        <c:crosses val="autoZero"/>
        <c:auto val="1"/>
        <c:lblAlgn val="ctr"/>
        <c:lblOffset val="100"/>
        <c:noMultiLvlLbl val="0"/>
      </c:catAx>
      <c:valAx>
        <c:axId val="205188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[milk_collection_data.xlsx]Summary of Data!PivotTable3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Farmers</a:t>
            </a:r>
            <a:endParaRPr lang="en-US"/>
          </a:p>
        </c:rich>
      </c:tx>
      <c:layout>
        <c:manualLayout>
          <c:xMode val="edge"/>
          <c:yMode val="edge"/>
          <c:x val="0.46198401336196609"/>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of Data'!$H$3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'Summary of Data'!$G$4:$G$14</c:f>
              <c:strCache>
                <c:ptCount val="10"/>
                <c:pt idx="0">
                  <c:v>F009Meena</c:v>
                </c:pt>
                <c:pt idx="1">
                  <c:v>F003Manjunath</c:v>
                </c:pt>
                <c:pt idx="2">
                  <c:v>F006Anand</c:v>
                </c:pt>
                <c:pt idx="3">
                  <c:v>F004Suresh</c:v>
                </c:pt>
                <c:pt idx="4">
                  <c:v>F007Savitha</c:v>
                </c:pt>
                <c:pt idx="5">
                  <c:v>F001Ramesh</c:v>
                </c:pt>
                <c:pt idx="6">
                  <c:v>F008Prakash</c:v>
                </c:pt>
                <c:pt idx="7">
                  <c:v>F010Ravi</c:v>
                </c:pt>
                <c:pt idx="8">
                  <c:v>F002Lakshmi</c:v>
                </c:pt>
                <c:pt idx="9">
                  <c:v>F005Geetha</c:v>
                </c:pt>
              </c:strCache>
            </c:strRef>
          </c:cat>
          <c:val>
            <c:numRef>
              <c:f>'Summary of Data'!$H$4:$H$14</c:f>
              <c:numCache>
                <c:formatCode>General</c:formatCode>
                <c:ptCount val="10"/>
                <c:pt idx="0">
                  <c:v>420.8</c:v>
                </c:pt>
                <c:pt idx="1">
                  <c:v>386.59999999999997</c:v>
                </c:pt>
                <c:pt idx="2">
                  <c:v>378.71</c:v>
                </c:pt>
                <c:pt idx="3">
                  <c:v>376.87000000000006</c:v>
                </c:pt>
                <c:pt idx="4">
                  <c:v>369.16000000000008</c:v>
                </c:pt>
                <c:pt idx="5">
                  <c:v>361.14</c:v>
                </c:pt>
                <c:pt idx="6">
                  <c:v>359.32</c:v>
                </c:pt>
                <c:pt idx="7">
                  <c:v>358.41</c:v>
                </c:pt>
                <c:pt idx="8">
                  <c:v>355.71999999999997</c:v>
                </c:pt>
                <c:pt idx="9">
                  <c:v>342.71999999999997</c:v>
                </c:pt>
              </c:numCache>
            </c:numRef>
          </c:val>
          <c:extLst>
            <c:ext xmlns:c16="http://schemas.microsoft.com/office/drawing/2014/chart" uri="{C3380CC4-5D6E-409C-BE32-E72D297353CC}">
              <c16:uniqueId val="{00000000-EED6-42D7-82B5-720FCFC6DC0E}"/>
            </c:ext>
          </c:extLst>
        </c:ser>
        <c:dLbls>
          <c:showLegendKey val="0"/>
          <c:showVal val="0"/>
          <c:showCatName val="0"/>
          <c:showSerName val="0"/>
          <c:showPercent val="0"/>
          <c:showBubbleSize val="0"/>
        </c:dLbls>
        <c:gapWidth val="30"/>
        <c:overlap val="-20"/>
        <c:axId val="253977152"/>
        <c:axId val="253974272"/>
      </c:barChart>
      <c:catAx>
        <c:axId val="253977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974272"/>
        <c:crosses val="autoZero"/>
        <c:auto val="1"/>
        <c:lblAlgn val="ctr"/>
        <c:lblOffset val="100"/>
        <c:noMultiLvlLbl val="0"/>
      </c:catAx>
      <c:valAx>
        <c:axId val="25397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977152"/>
        <c:crosses val="autoZero"/>
        <c:crossBetween val="between"/>
      </c:valAx>
      <c:spPr>
        <a:noFill/>
        <a:ln>
          <a:solidFill>
            <a:schemeClr val="accent1">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[milk_collection_data.xlsx]Summary of Data!PivotTable2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Village-wise</a:t>
            </a:r>
            <a:r>
              <a:rPr lang="en-US" baseline="0"/>
              <a:t> Milk</a:t>
            </a:r>
            <a:endParaRPr lang="en-US"/>
          </a:p>
        </c:rich>
      </c:tx>
      <c:layout>
        <c:manualLayout>
          <c:xMode val="edge"/>
          <c:yMode val="edge"/>
          <c:x val="0.32784711286089241"/>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of Data'!$E$3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'Summary of Data'!$D$4:$D$14</c:f>
              <c:strCache>
                <c:ptCount val="10"/>
                <c:pt idx="0">
                  <c:v>Hassan</c:v>
                </c:pt>
                <c:pt idx="1">
                  <c:v>Mandya</c:v>
                </c:pt>
                <c:pt idx="2">
                  <c:v>Chitradurga</c:v>
                </c:pt>
                <c:pt idx="3">
                  <c:v>Kolar</c:v>
                </c:pt>
                <c:pt idx="4">
                  <c:v>Davangere</c:v>
                </c:pt>
                <c:pt idx="5">
                  <c:v>Hosur</c:v>
                </c:pt>
                <c:pt idx="6">
                  <c:v>Shimoga</c:v>
                </c:pt>
                <c:pt idx="7">
                  <c:v>Chikkamagaluru</c:v>
                </c:pt>
                <c:pt idx="8">
                  <c:v>Tumkur</c:v>
                </c:pt>
                <c:pt idx="9">
                  <c:v>Mysuru</c:v>
                </c:pt>
              </c:strCache>
            </c:strRef>
          </c:cat>
          <c:val>
            <c:numRef>
              <c:f>'Summary of Data'!$E$4:$E$14</c:f>
              <c:numCache>
                <c:formatCode>General</c:formatCode>
                <c:ptCount val="10"/>
                <c:pt idx="0">
                  <c:v>420.8</c:v>
                </c:pt>
                <c:pt idx="1">
                  <c:v>386.59999999999997</c:v>
                </c:pt>
                <c:pt idx="2">
                  <c:v>378.71</c:v>
                </c:pt>
                <c:pt idx="3">
                  <c:v>376.87000000000006</c:v>
                </c:pt>
                <c:pt idx="4">
                  <c:v>369.16000000000008</c:v>
                </c:pt>
                <c:pt idx="5">
                  <c:v>361.14</c:v>
                </c:pt>
                <c:pt idx="6">
                  <c:v>359.32</c:v>
                </c:pt>
                <c:pt idx="7">
                  <c:v>358.41</c:v>
                </c:pt>
                <c:pt idx="8">
                  <c:v>355.71999999999997</c:v>
                </c:pt>
                <c:pt idx="9">
                  <c:v>342.71999999999997</c:v>
                </c:pt>
              </c:numCache>
            </c:numRef>
          </c:val>
          <c:extLst>
            <c:ext xmlns:c16="http://schemas.microsoft.com/office/drawing/2014/chart" uri="{C3380CC4-5D6E-409C-BE32-E72D297353CC}">
              <c16:uniqueId val="{00000000-B4C6-43BD-9BD8-7CFFBFB4D7FE}"/>
            </c:ext>
          </c:extLst>
        </c:ser>
        <c:dLbls>
          <c:showLegendKey val="0"/>
          <c:showVal val="0"/>
          <c:showCatName val="0"/>
          <c:showSerName val="0"/>
          <c:showPercent val="0"/>
          <c:showBubbleSize val="0"/>
        </c:dLbls>
        <c:gapWidth val="100"/>
        <c:overlap val="-24"/>
        <c:axId val="390327664"/>
        <c:axId val="390329104"/>
      </c:barChart>
      <c:catAx>
        <c:axId val="39032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329104"/>
        <c:crosses val="autoZero"/>
        <c:auto val="1"/>
        <c:lblAlgn val="ctr"/>
        <c:lblOffset val="100"/>
        <c:noMultiLvlLbl val="0"/>
      </c:catAx>
      <c:valAx>
        <c:axId val="39032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032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198120</xdr:colOff>
      <xdr:row>11</xdr:row>
      <xdr:rowOff>160020</xdr:rowOff>
    </xdr:from>
    <xdr:ext cx="184731" cy="264560"/>
    <xdr:sp macro="" textlink="">
      <xdr:nvSpPr>
        <xdr:cNvPr id="2" name="TextBox 1">
          <a:extLst>
            <a:ext uri="{FF2B5EF4-FFF2-40B4-BE49-F238E27FC236}">
              <a16:creationId xmlns:a16="http://schemas.microsoft.com/office/drawing/2014/main" id="{F4A55E2A-D2B4-026A-9433-BDC6D76B31C9}"/>
            </a:ext>
          </a:extLst>
        </xdr:cNvPr>
        <xdr:cNvSpPr txBox="1"/>
      </xdr:nvSpPr>
      <xdr:spPr>
        <a:xfrm>
          <a:off x="5074920" y="2171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175260</xdr:colOff>
      <xdr:row>2</xdr:row>
      <xdr:rowOff>167640</xdr:rowOff>
    </xdr:from>
    <xdr:ext cx="1577340" cy="563880"/>
    <xdr:sp macro="" textlink="">
      <xdr:nvSpPr>
        <xdr:cNvPr id="3" name="TextBox 2">
          <a:extLst>
            <a:ext uri="{FF2B5EF4-FFF2-40B4-BE49-F238E27FC236}">
              <a16:creationId xmlns:a16="http://schemas.microsoft.com/office/drawing/2014/main" id="{35CF62CD-3B48-AC0C-B90F-942CBC049D07}"/>
            </a:ext>
          </a:extLst>
        </xdr:cNvPr>
        <xdr:cNvSpPr txBox="1"/>
      </xdr:nvSpPr>
      <xdr:spPr>
        <a:xfrm>
          <a:off x="175260" y="533400"/>
          <a:ext cx="1577340" cy="563880"/>
        </a:xfrm>
        <a:prstGeom prst="rect">
          <a:avLst/>
        </a:prstGeom>
        <a:solidFill>
          <a:schemeClr val="bg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l"/>
          <a:r>
            <a:rPr lang="en-IN" sz="1400" b="1" i="0" u="none" strike="noStrike">
              <a:solidFill>
                <a:schemeClr val="bg1"/>
              </a:solidFill>
              <a:effectLst/>
              <a:latin typeface="+mn-lt"/>
              <a:ea typeface="+mn-ea"/>
              <a:cs typeface="+mn-cs"/>
            </a:rPr>
            <a:t>Average of Fat %</a:t>
          </a:r>
          <a:r>
            <a:rPr lang="en-IN" sz="1400">
              <a:solidFill>
                <a:schemeClr val="bg1"/>
              </a:solidFill>
            </a:rPr>
            <a:t> </a:t>
          </a:r>
          <a:r>
            <a:rPr lang="en-IN" sz="1400" b="0" i="0" u="none" strike="noStrike">
              <a:solidFill>
                <a:schemeClr val="bg1"/>
              </a:solidFill>
              <a:effectLst/>
              <a:latin typeface="+mn-lt"/>
              <a:ea typeface="+mn-ea"/>
              <a:cs typeface="+mn-cs"/>
            </a:rPr>
            <a:t>4.242</a:t>
          </a:r>
          <a:r>
            <a:rPr lang="en-IN" sz="1400">
              <a:solidFill>
                <a:schemeClr val="bg1"/>
              </a:solidFill>
            </a:rPr>
            <a:t> </a:t>
          </a:r>
        </a:p>
      </xdr:txBody>
    </xdr:sp>
    <xdr:clientData/>
  </xdr:oneCellAnchor>
  <xdr:oneCellAnchor>
    <xdr:from>
      <xdr:col>3</xdr:col>
      <xdr:colOff>22860</xdr:colOff>
      <xdr:row>2</xdr:row>
      <xdr:rowOff>175260</xdr:rowOff>
    </xdr:from>
    <xdr:ext cx="1821180" cy="556260"/>
    <xdr:sp macro="" textlink="">
      <xdr:nvSpPr>
        <xdr:cNvPr id="4" name="TextBox 3">
          <a:extLst>
            <a:ext uri="{FF2B5EF4-FFF2-40B4-BE49-F238E27FC236}">
              <a16:creationId xmlns:a16="http://schemas.microsoft.com/office/drawing/2014/main" id="{79AA4A12-13AC-9DB1-C6A1-56352502C6ED}"/>
            </a:ext>
          </a:extLst>
        </xdr:cNvPr>
        <xdr:cNvSpPr txBox="1"/>
      </xdr:nvSpPr>
      <xdr:spPr>
        <a:xfrm>
          <a:off x="1851660" y="541020"/>
          <a:ext cx="1821180" cy="556260"/>
        </a:xfrm>
        <a:prstGeom prst="rect">
          <a:avLst/>
        </a:prstGeom>
        <a:solidFill>
          <a:schemeClr val="bg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0" u="none" strike="noStrike">
              <a:solidFill>
                <a:schemeClr val="bg1"/>
              </a:solidFill>
              <a:effectLst/>
              <a:latin typeface="+mn-lt"/>
              <a:ea typeface="+mn-ea"/>
              <a:cs typeface="+mn-cs"/>
            </a:rPr>
            <a:t>Average of SNF %</a:t>
          </a:r>
          <a:r>
            <a:rPr lang="en-IN" sz="1400">
              <a:solidFill>
                <a:schemeClr val="bg1"/>
              </a:solidFill>
            </a:rPr>
            <a:t> </a:t>
          </a:r>
          <a:r>
            <a:rPr lang="en-IN" sz="1400" b="0" i="0" u="none" strike="noStrike">
              <a:solidFill>
                <a:schemeClr val="bg1"/>
              </a:solidFill>
              <a:effectLst/>
              <a:latin typeface="+mn-lt"/>
              <a:ea typeface="+mn-ea"/>
              <a:cs typeface="+mn-cs"/>
            </a:rPr>
            <a:t>8.707</a:t>
          </a:r>
          <a:r>
            <a:rPr lang="en-IN" sz="1400">
              <a:solidFill>
                <a:schemeClr val="bg1"/>
              </a:solidFill>
            </a:rPr>
            <a:t> </a:t>
          </a:r>
        </a:p>
      </xdr:txBody>
    </xdr:sp>
    <xdr:clientData/>
  </xdr:oneCellAnchor>
  <xdr:twoCellAnchor>
    <xdr:from>
      <xdr:col>0</xdr:col>
      <xdr:colOff>167640</xdr:colOff>
      <xdr:row>6</xdr:row>
      <xdr:rowOff>99060</xdr:rowOff>
    </xdr:from>
    <xdr:to>
      <xdr:col>15</xdr:col>
      <xdr:colOff>571500</xdr:colOff>
      <xdr:row>20</xdr:row>
      <xdr:rowOff>91440</xdr:rowOff>
    </xdr:to>
    <xdr:graphicFrame macro="">
      <xdr:nvGraphicFramePr>
        <xdr:cNvPr id="5" name="Chart 4">
          <a:extLst>
            <a:ext uri="{FF2B5EF4-FFF2-40B4-BE49-F238E27FC236}">
              <a16:creationId xmlns:a16="http://schemas.microsoft.com/office/drawing/2014/main" id="{606B7704-49B8-4264-B00A-0EB357692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15</xdr:col>
      <xdr:colOff>594360</xdr:colOff>
      <xdr:row>36</xdr:row>
      <xdr:rowOff>0</xdr:rowOff>
    </xdr:to>
    <xdr:graphicFrame macro="">
      <xdr:nvGraphicFramePr>
        <xdr:cNvPr id="7" name="Chart 6">
          <a:extLst>
            <a:ext uri="{FF2B5EF4-FFF2-40B4-BE49-F238E27FC236}">
              <a16:creationId xmlns:a16="http://schemas.microsoft.com/office/drawing/2014/main" id="{0B9F6CAE-0D98-419E-86FD-7439C209C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106680</xdr:colOff>
      <xdr:row>3</xdr:row>
      <xdr:rowOff>0</xdr:rowOff>
    </xdr:from>
    <xdr:ext cx="1752600" cy="541020"/>
    <xdr:sp macro="" textlink="">
      <xdr:nvSpPr>
        <xdr:cNvPr id="8" name="TextBox 7">
          <a:extLst>
            <a:ext uri="{FF2B5EF4-FFF2-40B4-BE49-F238E27FC236}">
              <a16:creationId xmlns:a16="http://schemas.microsoft.com/office/drawing/2014/main" id="{178667EF-A40A-471E-8541-936768EF6CF2}"/>
            </a:ext>
          </a:extLst>
        </xdr:cNvPr>
        <xdr:cNvSpPr txBox="1"/>
      </xdr:nvSpPr>
      <xdr:spPr>
        <a:xfrm>
          <a:off x="3764280" y="548640"/>
          <a:ext cx="1752600" cy="541020"/>
        </a:xfrm>
        <a:prstGeom prst="rect">
          <a:avLst/>
        </a:prstGeom>
        <a:solidFill>
          <a:schemeClr val="bg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0" u="none" strike="noStrike">
              <a:solidFill>
                <a:schemeClr val="bg1"/>
              </a:solidFill>
              <a:effectLst/>
              <a:latin typeface="+mn-lt"/>
              <a:ea typeface="+mn-ea"/>
              <a:cs typeface="+mn-cs"/>
            </a:rPr>
            <a:t>Sum of Quantity (L)</a:t>
          </a:r>
          <a:r>
            <a:rPr lang="en-IN" sz="1400">
              <a:solidFill>
                <a:schemeClr val="bg1"/>
              </a:solidFill>
            </a:rPr>
            <a:t> </a:t>
          </a:r>
          <a:r>
            <a:rPr lang="en-IN" sz="1400" b="0" i="0" u="none" strike="noStrike">
              <a:solidFill>
                <a:schemeClr val="bg1"/>
              </a:solidFill>
              <a:effectLst/>
              <a:latin typeface="+mn-lt"/>
              <a:ea typeface="+mn-ea"/>
              <a:cs typeface="+mn-cs"/>
            </a:rPr>
            <a:t>3709.45</a:t>
          </a:r>
          <a:r>
            <a:rPr lang="en-IN" sz="1400">
              <a:solidFill>
                <a:schemeClr val="bg1"/>
              </a:solidFill>
            </a:rPr>
            <a:t> </a:t>
          </a:r>
        </a:p>
      </xdr:txBody>
    </xdr:sp>
    <xdr:clientData/>
  </xdr:oneCellAnchor>
  <xdr:oneCellAnchor>
    <xdr:from>
      <xdr:col>9</xdr:col>
      <xdr:colOff>121920</xdr:colOff>
      <xdr:row>3</xdr:row>
      <xdr:rowOff>7620</xdr:rowOff>
    </xdr:from>
    <xdr:ext cx="1607820" cy="533400"/>
    <xdr:sp macro="" textlink="">
      <xdr:nvSpPr>
        <xdr:cNvPr id="10" name="TextBox 9">
          <a:extLst>
            <a:ext uri="{FF2B5EF4-FFF2-40B4-BE49-F238E27FC236}">
              <a16:creationId xmlns:a16="http://schemas.microsoft.com/office/drawing/2014/main" id="{7F37D409-AFC3-DD25-4C61-64EC764F6B77}"/>
            </a:ext>
          </a:extLst>
        </xdr:cNvPr>
        <xdr:cNvSpPr txBox="1"/>
      </xdr:nvSpPr>
      <xdr:spPr>
        <a:xfrm>
          <a:off x="5608320" y="556260"/>
          <a:ext cx="1607820" cy="533400"/>
        </a:xfrm>
        <a:prstGeom prst="rect">
          <a:avLst/>
        </a:prstGeom>
        <a:solidFill>
          <a:schemeClr val="bg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0" u="none" strike="noStrike">
              <a:solidFill>
                <a:schemeClr val="bg1"/>
              </a:solidFill>
              <a:effectLst/>
              <a:latin typeface="+mn-lt"/>
              <a:ea typeface="+mn-ea"/>
              <a:cs typeface="+mn-cs"/>
            </a:rPr>
            <a:t>Sum of Amount (₹)</a:t>
          </a:r>
          <a:r>
            <a:rPr lang="en-IN" sz="1400">
              <a:solidFill>
                <a:schemeClr val="bg1"/>
              </a:solidFill>
            </a:rPr>
            <a:t> </a:t>
          </a:r>
          <a:r>
            <a:rPr lang="en-IN" sz="1400" b="0" i="0" u="none" strike="noStrike">
              <a:solidFill>
                <a:schemeClr val="bg1"/>
              </a:solidFill>
              <a:effectLst/>
              <a:latin typeface="+mn-lt"/>
              <a:ea typeface="+mn-ea"/>
              <a:cs typeface="+mn-cs"/>
            </a:rPr>
            <a:t>272020.4</a:t>
          </a:r>
          <a:r>
            <a:rPr lang="en-IN" sz="1400">
              <a:solidFill>
                <a:schemeClr val="bg1"/>
              </a:solidFill>
            </a:rPr>
            <a:t> </a:t>
          </a:r>
        </a:p>
      </xdr:txBody>
    </xdr:sp>
    <xdr:clientData/>
  </xdr:oneCellAnchor>
  <xdr:twoCellAnchor editAs="oneCell">
    <xdr:from>
      <xdr:col>16</xdr:col>
      <xdr:colOff>83820</xdr:colOff>
      <xdr:row>2</xdr:row>
      <xdr:rowOff>152400</xdr:rowOff>
    </xdr:from>
    <xdr:to>
      <xdr:col>18</xdr:col>
      <xdr:colOff>495300</xdr:colOff>
      <xdr:row>12</xdr:row>
      <xdr:rowOff>68580</xdr:rowOff>
    </xdr:to>
    <mc:AlternateContent xmlns:mc="http://schemas.openxmlformats.org/markup-compatibility/2006" xmlns:a14="http://schemas.microsoft.com/office/drawing/2010/main">
      <mc:Choice Requires="a14">
        <xdr:graphicFrame macro="">
          <xdr:nvGraphicFramePr>
            <xdr:cNvPr id="11" name="Village">
              <a:extLst>
                <a:ext uri="{FF2B5EF4-FFF2-40B4-BE49-F238E27FC236}">
                  <a16:creationId xmlns:a16="http://schemas.microsoft.com/office/drawing/2014/main" id="{727227BC-BE87-4622-0FDD-5FBF91E6E154}"/>
                </a:ext>
              </a:extLst>
            </xdr:cNvPr>
            <xdr:cNvGraphicFramePr/>
          </xdr:nvGraphicFramePr>
          <xdr:xfrm>
            <a:off x="0" y="0"/>
            <a:ext cx="0" cy="0"/>
          </xdr:xfrm>
          <a:graphic>
            <a:graphicData uri="http://schemas.microsoft.com/office/drawing/2010/slicer">
              <sle:slicer xmlns:sle="http://schemas.microsoft.com/office/drawing/2010/slicer" name="Village"/>
            </a:graphicData>
          </a:graphic>
        </xdr:graphicFrame>
      </mc:Choice>
      <mc:Fallback xmlns="">
        <xdr:sp macro="" textlink="">
          <xdr:nvSpPr>
            <xdr:cNvPr id="0" name=""/>
            <xdr:cNvSpPr>
              <a:spLocks noTextEdit="1"/>
            </xdr:cNvSpPr>
          </xdr:nvSpPr>
          <xdr:spPr>
            <a:xfrm>
              <a:off x="9837420" y="518160"/>
              <a:ext cx="163068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99060</xdr:colOff>
      <xdr:row>12</xdr:row>
      <xdr:rowOff>152399</xdr:rowOff>
    </xdr:from>
    <xdr:to>
      <xdr:col>18</xdr:col>
      <xdr:colOff>502920</xdr:colOff>
      <xdr:row>24</xdr:row>
      <xdr:rowOff>53340</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A1015BB3-5D72-72A0-484F-31B1C99981D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852660" y="2362199"/>
              <a:ext cx="1623060" cy="209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24</xdr:row>
      <xdr:rowOff>137161</xdr:rowOff>
    </xdr:from>
    <xdr:to>
      <xdr:col>18</xdr:col>
      <xdr:colOff>441960</xdr:colOff>
      <xdr:row>36</xdr:row>
      <xdr:rowOff>22861</xdr:rowOff>
    </xdr:to>
    <mc:AlternateContent xmlns:mc="http://schemas.openxmlformats.org/markup-compatibility/2006" xmlns:a14="http://schemas.microsoft.com/office/drawing/2010/main">
      <mc:Choice Requires="a14">
        <xdr:graphicFrame macro="">
          <xdr:nvGraphicFramePr>
            <xdr:cNvPr id="13" name="Farmer full  Name">
              <a:extLst>
                <a:ext uri="{FF2B5EF4-FFF2-40B4-BE49-F238E27FC236}">
                  <a16:creationId xmlns:a16="http://schemas.microsoft.com/office/drawing/2014/main" id="{F584F380-40D4-3495-A59A-B4C59EB755EF}"/>
                </a:ext>
              </a:extLst>
            </xdr:cNvPr>
            <xdr:cNvGraphicFramePr/>
          </xdr:nvGraphicFramePr>
          <xdr:xfrm>
            <a:off x="0" y="0"/>
            <a:ext cx="0" cy="0"/>
          </xdr:xfrm>
          <a:graphic>
            <a:graphicData uri="http://schemas.microsoft.com/office/drawing/2010/slicer">
              <sle:slicer xmlns:sle="http://schemas.microsoft.com/office/drawing/2010/slicer" name="Farmer full  Name"/>
            </a:graphicData>
          </a:graphic>
        </xdr:graphicFrame>
      </mc:Choice>
      <mc:Fallback xmlns="">
        <xdr:sp macro="" textlink="">
          <xdr:nvSpPr>
            <xdr:cNvPr id="0" name=""/>
            <xdr:cNvSpPr>
              <a:spLocks noTextEdit="1"/>
            </xdr:cNvSpPr>
          </xdr:nvSpPr>
          <xdr:spPr>
            <a:xfrm>
              <a:off x="9898380" y="4541521"/>
              <a:ext cx="151638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0</xdr:colOff>
      <xdr:row>3</xdr:row>
      <xdr:rowOff>7620</xdr:rowOff>
    </xdr:from>
    <xdr:ext cx="2255520" cy="533400"/>
    <xdr:sp macro="" textlink="">
      <xdr:nvSpPr>
        <xdr:cNvPr id="14" name="TextBox 13">
          <a:extLst>
            <a:ext uri="{FF2B5EF4-FFF2-40B4-BE49-F238E27FC236}">
              <a16:creationId xmlns:a16="http://schemas.microsoft.com/office/drawing/2014/main" id="{50F516EE-4A85-2E19-7C74-8805B03BCD6F}"/>
            </a:ext>
          </a:extLst>
        </xdr:cNvPr>
        <xdr:cNvSpPr txBox="1"/>
      </xdr:nvSpPr>
      <xdr:spPr>
        <a:xfrm>
          <a:off x="7315200" y="556260"/>
          <a:ext cx="2255520" cy="533400"/>
        </a:xfrm>
        <a:prstGeom prst="rect">
          <a:avLst/>
        </a:prstGeom>
        <a:solidFill>
          <a:schemeClr val="bg1">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0" u="none" strike="noStrike">
              <a:solidFill>
                <a:schemeClr val="bg1"/>
              </a:solidFill>
              <a:effectLst/>
              <a:latin typeface="+mn-lt"/>
              <a:ea typeface="+mn-ea"/>
              <a:cs typeface="+mn-cs"/>
            </a:rPr>
            <a:t>Average of Price Per Liter(₹)</a:t>
          </a:r>
          <a:r>
            <a:rPr lang="en-IN" sz="1400">
              <a:solidFill>
                <a:schemeClr val="bg1"/>
              </a:solidFill>
            </a:rPr>
            <a:t> </a:t>
          </a:r>
          <a:r>
            <a:rPr lang="en-IN" sz="1400" b="0" i="0" u="none" strike="noStrike">
              <a:solidFill>
                <a:schemeClr val="bg1"/>
              </a:solidFill>
              <a:effectLst/>
              <a:latin typeface="+mn-lt"/>
              <a:ea typeface="+mn-ea"/>
              <a:cs typeface="+mn-cs"/>
            </a:rPr>
            <a:t>73.23134947</a:t>
          </a:r>
          <a:r>
            <a:rPr lang="en-IN" sz="1400">
              <a:solidFill>
                <a:schemeClr val="bg1"/>
              </a:solidFill>
            </a:rPr>
            <a:t> </a:t>
          </a:r>
        </a:p>
      </xdr:txBody>
    </xdr:sp>
    <xdr:clientData/>
  </xdr:oneCellAnchor>
  <xdr:twoCellAnchor>
    <xdr:from>
      <xdr:col>0</xdr:col>
      <xdr:colOff>144780</xdr:colOff>
      <xdr:row>21</xdr:row>
      <xdr:rowOff>22860</xdr:rowOff>
    </xdr:from>
    <xdr:to>
      <xdr:col>7</xdr:col>
      <xdr:colOff>449580</xdr:colOff>
      <xdr:row>36</xdr:row>
      <xdr:rowOff>22860</xdr:rowOff>
    </xdr:to>
    <xdr:graphicFrame macro="">
      <xdr:nvGraphicFramePr>
        <xdr:cNvPr id="9" name="Chart 8">
          <a:extLst>
            <a:ext uri="{FF2B5EF4-FFF2-40B4-BE49-F238E27FC236}">
              <a16:creationId xmlns:a16="http://schemas.microsoft.com/office/drawing/2014/main" id="{881A1B50-8BA9-4F9B-A456-0DAE19EE8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8.725536458332" createdVersion="8" refreshedVersion="8" minRefreshableVersion="3" recordCount="300" xr:uid="{606419D3-F418-41AF-8AE8-8C83FA10DC79}">
  <cacheSource type="worksheet">
    <worksheetSource name="Table1"/>
  </cacheSource>
  <cacheFields count="10">
    <cacheField name="Date" numFmtId="164">
      <sharedItems containsSemiMixedTypes="0" containsNonDate="0" containsDate="1" containsString="0" minDate="2025-09-01T00:00:00" maxDate="2025-10-01T00:00:00" count="3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cacheField>
    <cacheField name="FarmerID" numFmtId="0">
      <sharedItems/>
    </cacheField>
    <cacheField name="Farmer Name" numFmtId="0">
      <sharedItems count="10">
        <s v="Ramesh"/>
        <s v="Lakshmi"/>
        <s v="Manjunath"/>
        <s v="Suresh"/>
        <s v="Geetha"/>
        <s v="Anand"/>
        <s v="Savitha"/>
        <s v="Prakash"/>
        <s v="Meena"/>
        <s v="Ravi"/>
      </sharedItems>
    </cacheField>
    <cacheField name="Farmer full  Name" numFmtId="0">
      <sharedItems count="10">
        <s v="F001Ramesh"/>
        <s v="F002Lakshmi"/>
        <s v="F003Manjunath"/>
        <s v="F004Suresh"/>
        <s v="F005Geetha"/>
        <s v="F006Anand"/>
        <s v="F007Savitha"/>
        <s v="F008Prakash"/>
        <s v="F009Meena"/>
        <s v="F010Ravi"/>
      </sharedItems>
    </cacheField>
    <cacheField name="Village" numFmtId="0">
      <sharedItems count="10">
        <s v="Hosur"/>
        <s v="Tumkur"/>
        <s v="Mandya"/>
        <s v="Kolar"/>
        <s v="Mysuru"/>
        <s v="Chitradurga"/>
        <s v="Davangere"/>
        <s v="Shimoga"/>
        <s v="Hassan"/>
        <s v="Chikkamagaluru"/>
      </sharedItems>
    </cacheField>
    <cacheField name="Quantity (L)" numFmtId="0">
      <sharedItems containsSemiMixedTypes="0" containsString="0" containsNumber="1" minValue="5.01" maxValue="19.96"/>
    </cacheField>
    <cacheField name="Fat %" numFmtId="0">
      <sharedItems containsSemiMixedTypes="0" containsString="0" containsNumber="1" minValue="3.5" maxValue="5"/>
    </cacheField>
    <cacheField name="SNF %" numFmtId="0">
      <sharedItems containsSemiMixedTypes="0" containsString="0" containsNumber="1" minValue="8" maxValue="9.5"/>
    </cacheField>
    <cacheField name="Amount (₹)" numFmtId="0">
      <sharedItems containsSemiMixedTypes="0" containsString="0" containsNumber="1" minValue="342.25" maxValue="1564.56"/>
    </cacheField>
    <cacheField name="Price Per Liter(₹)" numFmtId="2">
      <sharedItems containsSemiMixedTypes="0" containsString="0" containsNumber="1" minValue="65" maxValue="82.499001996007991"/>
    </cacheField>
  </cacheFields>
  <extLst>
    <ext xmlns:x14="http://schemas.microsoft.com/office/spreadsheetml/2009/9/main" uri="{725AE2AE-9491-48be-B2B4-4EB974FC3084}">
      <x14:pivotCacheDefinition pivotCacheId="200215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F001"/>
    <x v="0"/>
    <x v="0"/>
    <x v="0"/>
    <n v="17.920000000000002"/>
    <n v="4.3"/>
    <n v="9.1999999999999993"/>
    <n v="1363.71"/>
    <n v="76.099888392857139"/>
  </r>
  <r>
    <x v="0"/>
    <s v="F002"/>
    <x v="1"/>
    <x v="1"/>
    <x v="1"/>
    <n v="5.41"/>
    <n v="3.7"/>
    <n v="8.9"/>
    <n v="380.86"/>
    <n v="70.399260628465811"/>
  </r>
  <r>
    <x v="0"/>
    <s v="F003"/>
    <x v="2"/>
    <x v="2"/>
    <x v="2"/>
    <n v="12.67"/>
    <n v="4.2"/>
    <n v="8.6"/>
    <n v="917.31"/>
    <n v="72.400157853196518"/>
  </r>
  <r>
    <x v="0"/>
    <s v="F004"/>
    <x v="3"/>
    <x v="3"/>
    <x v="3"/>
    <n v="7.53"/>
    <n v="4.0999999999999996"/>
    <n v="9.5"/>
    <n v="573.79"/>
    <n v="76.200531208499328"/>
  </r>
  <r>
    <x v="0"/>
    <s v="F005"/>
    <x v="4"/>
    <x v="4"/>
    <x v="4"/>
    <n v="5.79"/>
    <n v="3.6"/>
    <n v="9.1999999999999993"/>
    <n v="412.25"/>
    <n v="71.200345423143347"/>
  </r>
  <r>
    <x v="0"/>
    <s v="F006"/>
    <x v="5"/>
    <x v="5"/>
    <x v="5"/>
    <n v="11.58"/>
    <n v="4.8"/>
    <n v="8.6999999999999993"/>
    <n v="892.82"/>
    <n v="77.100172711571673"/>
  </r>
  <r>
    <x v="0"/>
    <s v="F007"/>
    <x v="6"/>
    <x v="6"/>
    <x v="6"/>
    <n v="6.12"/>
    <n v="4.3"/>
    <n v="8.3000000000000007"/>
    <n v="438.19"/>
    <n v="71.599673202614383"/>
  </r>
  <r>
    <x v="0"/>
    <s v="F008"/>
    <x v="7"/>
    <x v="7"/>
    <x v="7"/>
    <n v="17.14"/>
    <n v="4.9000000000000004"/>
    <n v="8.1"/>
    <n v="1282.07"/>
    <n v="74.799883313885644"/>
  </r>
  <r>
    <x v="0"/>
    <s v="F009"/>
    <x v="8"/>
    <x v="8"/>
    <x v="8"/>
    <n v="7.07"/>
    <n v="4.3"/>
    <n v="8.8000000000000007"/>
    <n v="523.89"/>
    <n v="74.100424328147099"/>
  </r>
  <r>
    <x v="0"/>
    <s v="F010"/>
    <x v="9"/>
    <x v="9"/>
    <x v="9"/>
    <n v="8.1999999999999993"/>
    <n v="4.5"/>
    <n v="9.3000000000000007"/>
    <n v="639.6"/>
    <n v="78.000000000000014"/>
  </r>
  <r>
    <x v="1"/>
    <s v="F001"/>
    <x v="0"/>
    <x v="0"/>
    <x v="0"/>
    <n v="12.06"/>
    <n v="4.3"/>
    <n v="8.8000000000000007"/>
    <n v="893.65"/>
    <n v="74.100331674958539"/>
  </r>
  <r>
    <x v="1"/>
    <s v="F002"/>
    <x v="1"/>
    <x v="1"/>
    <x v="1"/>
    <n v="7.98"/>
    <n v="3.7"/>
    <n v="8.6999999999999993"/>
    <n v="553.80999999999995"/>
    <n v="69.399749373433579"/>
  </r>
  <r>
    <x v="1"/>
    <s v="F003"/>
    <x v="2"/>
    <x v="2"/>
    <x v="2"/>
    <n v="8.19"/>
    <n v="4.5999999999999996"/>
    <n v="8"/>
    <n v="591.32000000000005"/>
    <n v="72.200244200244214"/>
  </r>
  <r>
    <x v="1"/>
    <s v="F004"/>
    <x v="3"/>
    <x v="3"/>
    <x v="3"/>
    <n v="17.829999999999998"/>
    <n v="4.4000000000000004"/>
    <n v="9.4"/>
    <n v="1387.17"/>
    <n v="77.799775659001696"/>
  </r>
  <r>
    <x v="1"/>
    <s v="F005"/>
    <x v="4"/>
    <x v="4"/>
    <x v="4"/>
    <n v="12.9"/>
    <n v="4.5"/>
    <n v="8.4"/>
    <n v="948.15"/>
    <n v="73.5"/>
  </r>
  <r>
    <x v="1"/>
    <s v="F006"/>
    <x v="5"/>
    <x v="5"/>
    <x v="5"/>
    <n v="11.57"/>
    <n v="3.9"/>
    <n v="9.1"/>
    <n v="842.3"/>
    <n v="72.800345721694029"/>
  </r>
  <r>
    <x v="1"/>
    <s v="F007"/>
    <x v="6"/>
    <x v="6"/>
    <x v="6"/>
    <n v="17.88"/>
    <n v="4.0999999999999996"/>
    <n v="8"/>
    <n v="1228.3599999999999"/>
    <n v="68.700223713646537"/>
  </r>
  <r>
    <x v="1"/>
    <s v="F008"/>
    <x v="7"/>
    <x v="7"/>
    <x v="7"/>
    <n v="5.17"/>
    <n v="4.5999999999999996"/>
    <n v="9"/>
    <n v="399.12"/>
    <n v="77.199226305609287"/>
  </r>
  <r>
    <x v="1"/>
    <s v="F009"/>
    <x v="8"/>
    <x v="8"/>
    <x v="8"/>
    <n v="16.03"/>
    <n v="4.0999999999999996"/>
    <n v="8.6"/>
    <n v="1149.3499999999999"/>
    <n v="71.699937616968171"/>
  </r>
  <r>
    <x v="1"/>
    <s v="F010"/>
    <x v="9"/>
    <x v="9"/>
    <x v="9"/>
    <n v="10.210000000000001"/>
    <n v="4.5999999999999996"/>
    <n v="9.5"/>
    <n v="813.74"/>
    <n v="79.70029382957884"/>
  </r>
  <r>
    <x v="2"/>
    <s v="F001"/>
    <x v="0"/>
    <x v="0"/>
    <x v="0"/>
    <n v="10.09"/>
    <n v="3.6"/>
    <n v="9.1999999999999993"/>
    <n v="718.41"/>
    <n v="71.200198216055497"/>
  </r>
  <r>
    <x v="2"/>
    <s v="F002"/>
    <x v="1"/>
    <x v="1"/>
    <x v="1"/>
    <n v="6.38"/>
    <n v="3.9"/>
    <n v="8.1999999999999993"/>
    <n v="435.75"/>
    <n v="68.299373040752357"/>
  </r>
  <r>
    <x v="2"/>
    <s v="F003"/>
    <x v="2"/>
    <x v="2"/>
    <x v="2"/>
    <n v="17.260000000000002"/>
    <n v="4.5999999999999996"/>
    <n v="9.1999999999999993"/>
    <n v="1349.73"/>
    <n v="78.199884125144834"/>
  </r>
  <r>
    <x v="2"/>
    <s v="F004"/>
    <x v="3"/>
    <x v="3"/>
    <x v="3"/>
    <n v="19.88"/>
    <n v="4.5999999999999996"/>
    <n v="9.3000000000000007"/>
    <n v="1564.56"/>
    <n v="78.700201207243467"/>
  </r>
  <r>
    <x v="2"/>
    <s v="F005"/>
    <x v="4"/>
    <x v="4"/>
    <x v="4"/>
    <n v="7.5"/>
    <n v="4.5999999999999996"/>
    <n v="8.6999999999999993"/>
    <n v="567.75"/>
    <n v="75.7"/>
  </r>
  <r>
    <x v="2"/>
    <s v="F006"/>
    <x v="5"/>
    <x v="5"/>
    <x v="5"/>
    <n v="18.3"/>
    <n v="4.7"/>
    <n v="9.3000000000000007"/>
    <n v="1453.02"/>
    <n v="79.399999999999991"/>
  </r>
  <r>
    <x v="2"/>
    <s v="F007"/>
    <x v="6"/>
    <x v="6"/>
    <x v="6"/>
    <n v="15.35"/>
    <n v="4.3"/>
    <n v="9.3000000000000007"/>
    <n v="1175.81"/>
    <n v="76.599999999999994"/>
  </r>
  <r>
    <x v="2"/>
    <s v="F008"/>
    <x v="7"/>
    <x v="7"/>
    <x v="7"/>
    <n v="5.68"/>
    <n v="3.6"/>
    <n v="8.6"/>
    <n v="387.38"/>
    <n v="68.200704225352112"/>
  </r>
  <r>
    <x v="2"/>
    <s v="F009"/>
    <x v="8"/>
    <x v="8"/>
    <x v="8"/>
    <n v="17.37"/>
    <n v="4.3"/>
    <n v="8.8000000000000007"/>
    <n v="1287.1199999999999"/>
    <n v="74.100172711571659"/>
  </r>
  <r>
    <x v="2"/>
    <s v="F010"/>
    <x v="9"/>
    <x v="9"/>
    <x v="9"/>
    <n v="8.16"/>
    <n v="3.6"/>
    <n v="8.4"/>
    <n v="548.35"/>
    <n v="67.199754901960787"/>
  </r>
  <r>
    <x v="3"/>
    <s v="F001"/>
    <x v="0"/>
    <x v="0"/>
    <x v="0"/>
    <n v="6.4"/>
    <n v="4"/>
    <n v="8.5"/>
    <n v="451.2"/>
    <n v="70.5"/>
  </r>
  <r>
    <x v="3"/>
    <s v="F002"/>
    <x v="1"/>
    <x v="1"/>
    <x v="1"/>
    <n v="9.26"/>
    <n v="3.5"/>
    <n v="8.8000000000000007"/>
    <n v="634.30999999999995"/>
    <n v="68.5"/>
  </r>
  <r>
    <x v="3"/>
    <s v="F003"/>
    <x v="2"/>
    <x v="2"/>
    <x v="2"/>
    <n v="12.69"/>
    <n v="3.9"/>
    <n v="9.1"/>
    <n v="923.83"/>
    <n v="72.799842395587078"/>
  </r>
  <r>
    <x v="3"/>
    <s v="F004"/>
    <x v="3"/>
    <x v="3"/>
    <x v="3"/>
    <n v="19.23"/>
    <n v="4.5999999999999996"/>
    <n v="9.4"/>
    <n v="1523.02"/>
    <n v="79.200208008320331"/>
  </r>
  <r>
    <x v="3"/>
    <s v="F005"/>
    <x v="4"/>
    <x v="4"/>
    <x v="4"/>
    <n v="7.4"/>
    <n v="4.5999999999999996"/>
    <n v="8.3000000000000007"/>
    <n v="545.38"/>
    <n v="73.7"/>
  </r>
  <r>
    <x v="3"/>
    <s v="F006"/>
    <x v="5"/>
    <x v="5"/>
    <x v="5"/>
    <n v="11.85"/>
    <n v="4.9000000000000004"/>
    <n v="8.4"/>
    <n v="904.16"/>
    <n v="76.300421940928274"/>
  </r>
  <r>
    <x v="3"/>
    <s v="F007"/>
    <x v="6"/>
    <x v="6"/>
    <x v="6"/>
    <n v="13.7"/>
    <n v="4.5999999999999996"/>
    <n v="8.4"/>
    <n v="1016.54"/>
    <n v="74.2"/>
  </r>
  <r>
    <x v="3"/>
    <s v="F008"/>
    <x v="7"/>
    <x v="7"/>
    <x v="7"/>
    <n v="10.9"/>
    <n v="4.2"/>
    <n v="9"/>
    <n v="810.96"/>
    <n v="74.400000000000006"/>
  </r>
  <r>
    <x v="3"/>
    <s v="F009"/>
    <x v="8"/>
    <x v="8"/>
    <x v="8"/>
    <n v="7.09"/>
    <n v="4.2"/>
    <n v="8.4"/>
    <n v="506.23"/>
    <n v="71.400564174894228"/>
  </r>
  <r>
    <x v="3"/>
    <s v="F010"/>
    <x v="9"/>
    <x v="9"/>
    <x v="9"/>
    <n v="8.1999999999999993"/>
    <n v="4.0999999999999996"/>
    <n v="8.4"/>
    <n v="579.74"/>
    <n v="70.7"/>
  </r>
  <r>
    <x v="4"/>
    <s v="F001"/>
    <x v="0"/>
    <x v="0"/>
    <x v="0"/>
    <n v="8.06"/>
    <n v="4"/>
    <n v="9.1999999999999993"/>
    <n v="596.44000000000005"/>
    <n v="74"/>
  </r>
  <r>
    <x v="4"/>
    <s v="F002"/>
    <x v="1"/>
    <x v="1"/>
    <x v="1"/>
    <n v="6.6"/>
    <n v="4.8"/>
    <n v="8"/>
    <n v="485.76"/>
    <n v="73.600000000000009"/>
  </r>
  <r>
    <x v="4"/>
    <s v="F003"/>
    <x v="2"/>
    <x v="2"/>
    <x v="2"/>
    <n v="16.41"/>
    <n v="4.2"/>
    <n v="9.4"/>
    <n v="1253.72"/>
    <n v="76.399756246191345"/>
  </r>
  <r>
    <x v="4"/>
    <s v="F004"/>
    <x v="3"/>
    <x v="3"/>
    <x v="3"/>
    <n v="15.7"/>
    <n v="4.8"/>
    <n v="8.1999999999999993"/>
    <n v="1171.22"/>
    <n v="74.600000000000009"/>
  </r>
  <r>
    <x v="4"/>
    <s v="F005"/>
    <x v="4"/>
    <x v="4"/>
    <x v="4"/>
    <n v="9.33"/>
    <n v="4.5"/>
    <n v="9.1"/>
    <n v="718.41"/>
    <n v="77"/>
  </r>
  <r>
    <x v="4"/>
    <s v="F006"/>
    <x v="5"/>
    <x v="5"/>
    <x v="5"/>
    <n v="17.71"/>
    <n v="3.8"/>
    <n v="9.3000000000000007"/>
    <n v="1294.5999999999999"/>
    <n v="73.099943534726137"/>
  </r>
  <r>
    <x v="4"/>
    <s v="F007"/>
    <x v="6"/>
    <x v="6"/>
    <x v="6"/>
    <n v="12.26"/>
    <n v="3.8"/>
    <n v="9"/>
    <n v="877.82"/>
    <n v="71.600326264274074"/>
  </r>
  <r>
    <x v="4"/>
    <s v="F008"/>
    <x v="7"/>
    <x v="7"/>
    <x v="7"/>
    <n v="10.3"/>
    <n v="4.8"/>
    <n v="8.1999999999999993"/>
    <n v="768.38"/>
    <n v="74.599999999999994"/>
  </r>
  <r>
    <x v="4"/>
    <s v="F009"/>
    <x v="8"/>
    <x v="8"/>
    <x v="8"/>
    <n v="18.079999999999998"/>
    <n v="4.2"/>
    <n v="8"/>
    <n v="1254.75"/>
    <n v="69.399889380530979"/>
  </r>
  <r>
    <x v="4"/>
    <s v="F010"/>
    <x v="9"/>
    <x v="9"/>
    <x v="9"/>
    <n v="18.71"/>
    <n v="4.0999999999999996"/>
    <n v="8.1999999999999993"/>
    <n v="1304.0899999999999"/>
    <n v="69.700160342063057"/>
  </r>
  <r>
    <x v="5"/>
    <s v="F001"/>
    <x v="0"/>
    <x v="0"/>
    <x v="0"/>
    <n v="15.64"/>
    <n v="3.6"/>
    <n v="8.3000000000000007"/>
    <n v="1043.19"/>
    <n v="66.700127877237847"/>
  </r>
  <r>
    <x v="5"/>
    <s v="F002"/>
    <x v="1"/>
    <x v="1"/>
    <x v="1"/>
    <n v="19.96"/>
    <n v="4.7"/>
    <n v="8.9"/>
    <n v="1544.9"/>
    <n v="77.399799599198403"/>
  </r>
  <r>
    <x v="5"/>
    <s v="F003"/>
    <x v="2"/>
    <x v="2"/>
    <x v="2"/>
    <n v="12.67"/>
    <n v="4"/>
    <n v="8.1"/>
    <n v="867.89"/>
    <n v="68.499605367008684"/>
  </r>
  <r>
    <x v="5"/>
    <s v="F004"/>
    <x v="3"/>
    <x v="3"/>
    <x v="3"/>
    <n v="6.94"/>
    <n v="3.6"/>
    <n v="8.1999999999999993"/>
    <n v="459.43"/>
    <n v="66.200288184438037"/>
  </r>
  <r>
    <x v="5"/>
    <s v="F005"/>
    <x v="4"/>
    <x v="4"/>
    <x v="4"/>
    <n v="5.01"/>
    <n v="5"/>
    <n v="9.5"/>
    <n v="413.32"/>
    <n v="82.499001996007991"/>
  </r>
  <r>
    <x v="5"/>
    <s v="F006"/>
    <x v="5"/>
    <x v="5"/>
    <x v="5"/>
    <n v="16.989999999999998"/>
    <n v="4.5"/>
    <n v="8.6"/>
    <n v="1265.75"/>
    <n v="74.499705709240743"/>
  </r>
  <r>
    <x v="5"/>
    <s v="F007"/>
    <x v="6"/>
    <x v="6"/>
    <x v="6"/>
    <n v="12.52"/>
    <n v="4"/>
    <n v="8.6"/>
    <n v="888.92"/>
    <n v="71"/>
  </r>
  <r>
    <x v="5"/>
    <s v="F008"/>
    <x v="7"/>
    <x v="7"/>
    <x v="7"/>
    <n v="12.59"/>
    <n v="4.8"/>
    <n v="9.3000000000000007"/>
    <n v="1008.46"/>
    <n v="80.100079428117553"/>
  </r>
  <r>
    <x v="5"/>
    <s v="F009"/>
    <x v="8"/>
    <x v="8"/>
    <x v="8"/>
    <n v="19.739999999999998"/>
    <n v="4.3"/>
    <n v="9.1999999999999993"/>
    <n v="1502.21"/>
    <n v="76.099797365754824"/>
  </r>
  <r>
    <x v="5"/>
    <s v="F010"/>
    <x v="9"/>
    <x v="9"/>
    <x v="9"/>
    <n v="17.309999999999999"/>
    <n v="4.5"/>
    <n v="8.5"/>
    <n v="1280.94"/>
    <n v="74.000000000000014"/>
  </r>
  <r>
    <x v="6"/>
    <s v="F001"/>
    <x v="0"/>
    <x v="0"/>
    <x v="0"/>
    <n v="17.43"/>
    <n v="4.5"/>
    <n v="9.1"/>
    <n v="1342.11"/>
    <n v="77"/>
  </r>
  <r>
    <x v="6"/>
    <s v="F002"/>
    <x v="1"/>
    <x v="1"/>
    <x v="1"/>
    <n v="9.1199999999999992"/>
    <n v="4.0999999999999996"/>
    <n v="9"/>
    <n v="672.14"/>
    <n v="73.699561403508781"/>
  </r>
  <r>
    <x v="6"/>
    <s v="F003"/>
    <x v="2"/>
    <x v="2"/>
    <x v="2"/>
    <n v="14.27"/>
    <n v="4"/>
    <n v="8.4"/>
    <n v="998.9"/>
    <n v="70"/>
  </r>
  <r>
    <x v="6"/>
    <s v="F004"/>
    <x v="3"/>
    <x v="3"/>
    <x v="3"/>
    <n v="5.09"/>
    <n v="4.4000000000000004"/>
    <n v="9"/>
    <n v="385.82"/>
    <n v="75.799607072691558"/>
  </r>
  <r>
    <x v="6"/>
    <s v="F005"/>
    <x v="4"/>
    <x v="4"/>
    <x v="4"/>
    <n v="19.71"/>
    <n v="3.6"/>
    <n v="9.1999999999999993"/>
    <n v="1403.35"/>
    <n v="71.199898528665642"/>
  </r>
  <r>
    <x v="6"/>
    <s v="F006"/>
    <x v="5"/>
    <x v="5"/>
    <x v="5"/>
    <n v="8.18"/>
    <n v="3.6"/>
    <n v="8.6999999999999993"/>
    <n v="561.97"/>
    <n v="68.700488997555013"/>
  </r>
  <r>
    <x v="6"/>
    <s v="F007"/>
    <x v="6"/>
    <x v="6"/>
    <x v="6"/>
    <n v="19.07"/>
    <n v="3.5"/>
    <n v="9"/>
    <n v="1325.37"/>
    <n v="69.500262191924477"/>
  </r>
  <r>
    <x v="6"/>
    <s v="F008"/>
    <x v="7"/>
    <x v="7"/>
    <x v="7"/>
    <n v="18.14"/>
    <n v="4.9000000000000004"/>
    <n v="9"/>
    <n v="1438.5"/>
    <n v="79.299889746416753"/>
  </r>
  <r>
    <x v="6"/>
    <s v="F009"/>
    <x v="8"/>
    <x v="8"/>
    <x v="8"/>
    <n v="5.32"/>
    <n v="3.8"/>
    <n v="8.3000000000000007"/>
    <n v="362.29"/>
    <n v="68.099624060150376"/>
  </r>
  <r>
    <x v="6"/>
    <s v="F010"/>
    <x v="9"/>
    <x v="9"/>
    <x v="9"/>
    <n v="17.05"/>
    <n v="5"/>
    <n v="8.9"/>
    <n v="1355.48"/>
    <n v="79.500293255131965"/>
  </r>
  <r>
    <x v="7"/>
    <s v="F001"/>
    <x v="0"/>
    <x v="0"/>
    <x v="0"/>
    <n v="6.56"/>
    <n v="4.9000000000000004"/>
    <n v="8.8000000000000007"/>
    <n v="513.65"/>
    <n v="78.300304878048777"/>
  </r>
  <r>
    <x v="7"/>
    <s v="F002"/>
    <x v="1"/>
    <x v="1"/>
    <x v="1"/>
    <n v="5.88"/>
    <n v="4.2"/>
    <n v="9.5"/>
    <n v="452.17"/>
    <n v="76.899659863945587"/>
  </r>
  <r>
    <x v="7"/>
    <s v="F003"/>
    <x v="2"/>
    <x v="2"/>
    <x v="2"/>
    <n v="6.64"/>
    <n v="3.7"/>
    <n v="8.4"/>
    <n v="450.86"/>
    <n v="67.900602409638566"/>
  </r>
  <r>
    <x v="7"/>
    <s v="F004"/>
    <x v="3"/>
    <x v="3"/>
    <x v="3"/>
    <n v="15.54"/>
    <n v="3.6"/>
    <n v="9.3000000000000007"/>
    <n v="1114.22"/>
    <n v="71.700128700128701"/>
  </r>
  <r>
    <x v="7"/>
    <s v="F005"/>
    <x v="4"/>
    <x v="4"/>
    <x v="4"/>
    <n v="12.36"/>
    <n v="4.5999999999999996"/>
    <n v="8.3000000000000007"/>
    <n v="910.93"/>
    <n v="73.699838187702269"/>
  </r>
  <r>
    <x v="7"/>
    <s v="F006"/>
    <x v="5"/>
    <x v="5"/>
    <x v="5"/>
    <n v="5.01"/>
    <n v="4.5"/>
    <n v="8.1"/>
    <n v="360.72"/>
    <n v="72.000000000000014"/>
  </r>
  <r>
    <x v="7"/>
    <s v="F007"/>
    <x v="6"/>
    <x v="6"/>
    <x v="6"/>
    <n v="5.1100000000000003"/>
    <n v="4"/>
    <n v="8.9"/>
    <n v="370.48"/>
    <n v="72.500978473581213"/>
  </r>
  <r>
    <x v="7"/>
    <s v="F008"/>
    <x v="7"/>
    <x v="7"/>
    <x v="7"/>
    <n v="18.61"/>
    <n v="4.0999999999999996"/>
    <n v="8.1"/>
    <n v="1287.81"/>
    <n v="69.199892530897372"/>
  </r>
  <r>
    <x v="7"/>
    <s v="F009"/>
    <x v="8"/>
    <x v="8"/>
    <x v="8"/>
    <n v="16.920000000000002"/>
    <n v="4.7"/>
    <n v="9.3000000000000007"/>
    <n v="1343.45"/>
    <n v="79.400118203309688"/>
  </r>
  <r>
    <x v="7"/>
    <s v="F010"/>
    <x v="9"/>
    <x v="9"/>
    <x v="9"/>
    <n v="13.56"/>
    <n v="4.5"/>
    <n v="8.5"/>
    <n v="1003.44"/>
    <n v="74"/>
  </r>
  <r>
    <x v="8"/>
    <s v="F001"/>
    <x v="0"/>
    <x v="0"/>
    <x v="0"/>
    <n v="11.07"/>
    <n v="4.2"/>
    <n v="9.4"/>
    <n v="845.75"/>
    <n v="76.400180668473354"/>
  </r>
  <r>
    <x v="8"/>
    <s v="F002"/>
    <x v="1"/>
    <x v="1"/>
    <x v="1"/>
    <n v="11.77"/>
    <n v="5"/>
    <n v="9"/>
    <n v="941.6"/>
    <n v="80"/>
  </r>
  <r>
    <x v="8"/>
    <s v="F003"/>
    <x v="2"/>
    <x v="2"/>
    <x v="2"/>
    <n v="14.63"/>
    <n v="3.9"/>
    <n v="8.6"/>
    <n v="1028.49"/>
    <n v="70.300068352699924"/>
  </r>
  <r>
    <x v="8"/>
    <s v="F004"/>
    <x v="3"/>
    <x v="3"/>
    <x v="3"/>
    <n v="12.26"/>
    <n v="4.3"/>
    <n v="8.1999999999999993"/>
    <n v="871.69"/>
    <n v="71.100326264274074"/>
  </r>
  <r>
    <x v="8"/>
    <s v="F005"/>
    <x v="4"/>
    <x v="4"/>
    <x v="4"/>
    <n v="18.37"/>
    <n v="3.8"/>
    <n v="9"/>
    <n v="1315.29"/>
    <n v="71.599891126837235"/>
  </r>
  <r>
    <x v="8"/>
    <s v="F006"/>
    <x v="5"/>
    <x v="5"/>
    <x v="5"/>
    <n v="9.5299999999999994"/>
    <n v="3.6"/>
    <n v="8.3000000000000007"/>
    <n v="635.65"/>
    <n v="66.699895068205663"/>
  </r>
  <r>
    <x v="8"/>
    <s v="F007"/>
    <x v="6"/>
    <x v="6"/>
    <x v="6"/>
    <n v="5.43"/>
    <n v="4.4000000000000004"/>
    <n v="9"/>
    <n v="411.59"/>
    <n v="75.799263351749545"/>
  </r>
  <r>
    <x v="8"/>
    <s v="F008"/>
    <x v="7"/>
    <x v="7"/>
    <x v="7"/>
    <n v="11.55"/>
    <n v="4"/>
    <n v="8.3000000000000007"/>
    <n v="802.73"/>
    <n v="69.500432900432898"/>
  </r>
  <r>
    <x v="8"/>
    <s v="F009"/>
    <x v="8"/>
    <x v="8"/>
    <x v="8"/>
    <n v="15.4"/>
    <n v="4.3"/>
    <n v="9"/>
    <n v="1156.54"/>
    <n v="75.099999999999994"/>
  </r>
  <r>
    <x v="8"/>
    <s v="F010"/>
    <x v="9"/>
    <x v="9"/>
    <x v="9"/>
    <n v="5.17"/>
    <n v="3.6"/>
    <n v="8.1999999999999993"/>
    <n v="342.25"/>
    <n v="66.199226305609287"/>
  </r>
  <r>
    <x v="9"/>
    <s v="F001"/>
    <x v="0"/>
    <x v="0"/>
    <x v="0"/>
    <n v="15.02"/>
    <n v="4.8"/>
    <n v="9.1999999999999993"/>
    <n v="1195.5899999999999"/>
    <n v="79.599866844207725"/>
  </r>
  <r>
    <x v="9"/>
    <s v="F002"/>
    <x v="1"/>
    <x v="1"/>
    <x v="1"/>
    <n v="13.16"/>
    <n v="4.5999999999999996"/>
    <n v="9.5"/>
    <n v="1048.8499999999999"/>
    <n v="79.699848024316097"/>
  </r>
  <r>
    <x v="9"/>
    <s v="F003"/>
    <x v="2"/>
    <x v="2"/>
    <x v="2"/>
    <n v="18.05"/>
    <n v="4"/>
    <n v="8.6"/>
    <n v="1281.55"/>
    <n v="71"/>
  </r>
  <r>
    <x v="9"/>
    <s v="F004"/>
    <x v="3"/>
    <x v="3"/>
    <x v="3"/>
    <n v="6.17"/>
    <n v="4.5999999999999996"/>
    <n v="8.6999999999999993"/>
    <n v="467.07"/>
    <n v="75.700162074554299"/>
  </r>
  <r>
    <x v="9"/>
    <s v="F005"/>
    <x v="4"/>
    <x v="4"/>
    <x v="4"/>
    <n v="14.15"/>
    <n v="3.6"/>
    <n v="9"/>
    <n v="993.33"/>
    <n v="70.2"/>
  </r>
  <r>
    <x v="9"/>
    <s v="F006"/>
    <x v="5"/>
    <x v="5"/>
    <x v="5"/>
    <n v="11.2"/>
    <n v="4.4000000000000004"/>
    <n v="8.6"/>
    <n v="826.56"/>
    <n v="73.8"/>
  </r>
  <r>
    <x v="9"/>
    <s v="F007"/>
    <x v="6"/>
    <x v="6"/>
    <x v="6"/>
    <n v="18.37"/>
    <n v="4.9000000000000004"/>
    <n v="9"/>
    <n v="1456.74"/>
    <n v="79.299945563418618"/>
  </r>
  <r>
    <x v="9"/>
    <s v="F008"/>
    <x v="7"/>
    <x v="7"/>
    <x v="7"/>
    <n v="17.09"/>
    <n v="4.7"/>
    <n v="8.1999999999999993"/>
    <n v="1262.95"/>
    <n v="73.899941486249276"/>
  </r>
  <r>
    <x v="9"/>
    <s v="F009"/>
    <x v="8"/>
    <x v="8"/>
    <x v="8"/>
    <n v="13.61"/>
    <n v="4.3"/>
    <n v="8.1999999999999993"/>
    <n v="967.67"/>
    <n v="71.099926524614247"/>
  </r>
  <r>
    <x v="9"/>
    <s v="F010"/>
    <x v="9"/>
    <x v="9"/>
    <x v="9"/>
    <n v="12.55"/>
    <n v="3.8"/>
    <n v="9.4"/>
    <n v="923.68"/>
    <n v="73.599999999999994"/>
  </r>
  <r>
    <x v="10"/>
    <s v="F001"/>
    <x v="0"/>
    <x v="0"/>
    <x v="0"/>
    <n v="8.58"/>
    <n v="4.8"/>
    <n v="8.1"/>
    <n v="635.78"/>
    <n v="74.100233100233098"/>
  </r>
  <r>
    <x v="10"/>
    <s v="F002"/>
    <x v="1"/>
    <x v="1"/>
    <x v="1"/>
    <n v="18.52"/>
    <n v="4.5999999999999996"/>
    <n v="8.6999999999999993"/>
    <n v="1401.96"/>
    <n v="75.699784017278617"/>
  </r>
  <r>
    <x v="10"/>
    <s v="F003"/>
    <x v="2"/>
    <x v="2"/>
    <x v="2"/>
    <n v="8.7200000000000006"/>
    <n v="4.5"/>
    <n v="8.6999999999999993"/>
    <n v="654"/>
    <n v="75"/>
  </r>
  <r>
    <x v="10"/>
    <s v="F004"/>
    <x v="3"/>
    <x v="3"/>
    <x v="3"/>
    <n v="6.4"/>
    <n v="4.0999999999999996"/>
    <n v="8.3000000000000007"/>
    <n v="449.28"/>
    <n v="70.199999999999989"/>
  </r>
  <r>
    <x v="10"/>
    <s v="F005"/>
    <x v="4"/>
    <x v="4"/>
    <x v="4"/>
    <n v="10.59"/>
    <n v="4.7"/>
    <n v="8.9"/>
    <n v="819.67"/>
    <n v="77.400377714825311"/>
  </r>
  <r>
    <x v="10"/>
    <s v="F006"/>
    <x v="5"/>
    <x v="5"/>
    <x v="5"/>
    <n v="14.79"/>
    <n v="4.0999999999999996"/>
    <n v="8.4"/>
    <n v="1045.6500000000001"/>
    <n v="70.699797160243421"/>
  </r>
  <r>
    <x v="10"/>
    <s v="F007"/>
    <x v="6"/>
    <x v="6"/>
    <x v="6"/>
    <n v="5.3"/>
    <n v="4.5999999999999996"/>
    <n v="8.4"/>
    <n v="393.26"/>
    <n v="74.2"/>
  </r>
  <r>
    <x v="10"/>
    <s v="F008"/>
    <x v="7"/>
    <x v="7"/>
    <x v="7"/>
    <n v="14.26"/>
    <n v="4.3"/>
    <n v="8.1"/>
    <n v="1006.76"/>
    <n v="70.600280504908838"/>
  </r>
  <r>
    <x v="10"/>
    <s v="F009"/>
    <x v="8"/>
    <x v="8"/>
    <x v="8"/>
    <n v="18.559999999999999"/>
    <n v="3.7"/>
    <n v="8.8000000000000007"/>
    <n v="1297.3399999999999"/>
    <n v="69.899784482758619"/>
  </r>
  <r>
    <x v="10"/>
    <s v="F010"/>
    <x v="9"/>
    <x v="9"/>
    <x v="9"/>
    <n v="12.95"/>
    <n v="4.5999999999999996"/>
    <n v="9.1"/>
    <n v="1006.21"/>
    <n v="77.699613899613908"/>
  </r>
  <r>
    <x v="11"/>
    <s v="F001"/>
    <x v="0"/>
    <x v="0"/>
    <x v="0"/>
    <n v="11.58"/>
    <n v="3.8"/>
    <n v="8"/>
    <n v="771.23"/>
    <n v="66.600172711571673"/>
  </r>
  <r>
    <x v="11"/>
    <s v="F002"/>
    <x v="1"/>
    <x v="1"/>
    <x v="1"/>
    <n v="10.14"/>
    <n v="4.4000000000000004"/>
    <n v="9.1"/>
    <n v="773.68"/>
    <n v="76.299802761341212"/>
  </r>
  <r>
    <x v="11"/>
    <s v="F003"/>
    <x v="2"/>
    <x v="2"/>
    <x v="2"/>
    <n v="19.96"/>
    <n v="5"/>
    <n v="8.4"/>
    <n v="1536.92"/>
    <n v="77"/>
  </r>
  <r>
    <x v="11"/>
    <s v="F004"/>
    <x v="3"/>
    <x v="3"/>
    <x v="3"/>
    <n v="18.34"/>
    <n v="5"/>
    <n v="9.4"/>
    <n v="1503.88"/>
    <n v="82"/>
  </r>
  <r>
    <x v="11"/>
    <s v="F005"/>
    <x v="4"/>
    <x v="4"/>
    <x v="4"/>
    <n v="18.62"/>
    <n v="3.5"/>
    <n v="8.8000000000000007"/>
    <n v="1275.47"/>
    <n v="68.5"/>
  </r>
  <r>
    <x v="11"/>
    <s v="F006"/>
    <x v="5"/>
    <x v="5"/>
    <x v="5"/>
    <n v="18.36"/>
    <n v="4.3"/>
    <n v="8.4"/>
    <n v="1323.76"/>
    <n v="72.100217864923749"/>
  </r>
  <r>
    <x v="11"/>
    <s v="F007"/>
    <x v="6"/>
    <x v="6"/>
    <x v="6"/>
    <n v="8.8699999999999992"/>
    <n v="4.3"/>
    <n v="9.1"/>
    <n v="670.57"/>
    <n v="75.599774520856826"/>
  </r>
  <r>
    <x v="11"/>
    <s v="F008"/>
    <x v="7"/>
    <x v="7"/>
    <x v="7"/>
    <n v="13.81"/>
    <n v="4.5"/>
    <n v="8.6999999999999993"/>
    <n v="1035.75"/>
    <n v="75"/>
  </r>
  <r>
    <x v="11"/>
    <s v="F009"/>
    <x v="8"/>
    <x v="8"/>
    <x v="8"/>
    <n v="17.71"/>
    <n v="4.0999999999999996"/>
    <n v="9.1"/>
    <n v="1314.08"/>
    <n v="74.199887069452274"/>
  </r>
  <r>
    <x v="11"/>
    <s v="F010"/>
    <x v="9"/>
    <x v="9"/>
    <x v="9"/>
    <n v="8.0299999999999994"/>
    <n v="4.0999999999999996"/>
    <n v="8.6"/>
    <n v="575.75"/>
    <n v="71.699875466998762"/>
  </r>
  <r>
    <x v="12"/>
    <s v="F001"/>
    <x v="0"/>
    <x v="0"/>
    <x v="0"/>
    <n v="7.59"/>
    <n v="4.9000000000000004"/>
    <n v="9.4"/>
    <n v="617.07000000000005"/>
    <n v="81.300395256917"/>
  </r>
  <r>
    <x v="12"/>
    <s v="F002"/>
    <x v="1"/>
    <x v="1"/>
    <x v="1"/>
    <n v="5.28"/>
    <n v="4.0999999999999996"/>
    <n v="9.4"/>
    <n v="399.7"/>
    <n v="75.700757575757564"/>
  </r>
  <r>
    <x v="12"/>
    <s v="F003"/>
    <x v="2"/>
    <x v="2"/>
    <x v="2"/>
    <n v="8.1300000000000008"/>
    <n v="3.5"/>
    <n v="8.1999999999999993"/>
    <n v="532.52"/>
    <n v="65.500615006150056"/>
  </r>
  <r>
    <x v="12"/>
    <s v="F004"/>
    <x v="3"/>
    <x v="3"/>
    <x v="3"/>
    <n v="19.52"/>
    <n v="4.5999999999999996"/>
    <n v="8.8000000000000007"/>
    <n v="1487.42"/>
    <n v="76.199795081967224"/>
  </r>
  <r>
    <x v="12"/>
    <s v="F005"/>
    <x v="4"/>
    <x v="4"/>
    <x v="4"/>
    <n v="19.329999999999998"/>
    <n v="4.8"/>
    <n v="8.6999999999999993"/>
    <n v="1490.34"/>
    <n v="77.099844800827725"/>
  </r>
  <r>
    <x v="12"/>
    <s v="F006"/>
    <x v="5"/>
    <x v="5"/>
    <x v="5"/>
    <n v="16.88"/>
    <n v="4.3"/>
    <n v="8.6999999999999993"/>
    <n v="1242.3699999999999"/>
    <n v="73.600118483412317"/>
  </r>
  <r>
    <x v="12"/>
    <s v="F007"/>
    <x v="6"/>
    <x v="6"/>
    <x v="6"/>
    <n v="8.18"/>
    <n v="4.0999999999999996"/>
    <n v="8.8000000000000007"/>
    <n v="594.69000000000005"/>
    <n v="72.700488997555027"/>
  </r>
  <r>
    <x v="12"/>
    <s v="F008"/>
    <x v="7"/>
    <x v="7"/>
    <x v="7"/>
    <n v="10.31"/>
    <n v="3.9"/>
    <n v="9.3000000000000007"/>
    <n v="760.88"/>
    <n v="73.80019398642095"/>
  </r>
  <r>
    <x v="12"/>
    <s v="F009"/>
    <x v="8"/>
    <x v="8"/>
    <x v="8"/>
    <n v="11.71"/>
    <n v="3.6"/>
    <n v="8.1999999999999993"/>
    <n v="775.2"/>
    <n v="66.199829205807006"/>
  </r>
  <r>
    <x v="12"/>
    <s v="F010"/>
    <x v="9"/>
    <x v="9"/>
    <x v="9"/>
    <n v="12.98"/>
    <n v="4.7"/>
    <n v="8.1"/>
    <n v="952.73"/>
    <n v="73.399845916795073"/>
  </r>
  <r>
    <x v="13"/>
    <s v="F001"/>
    <x v="0"/>
    <x v="0"/>
    <x v="0"/>
    <n v="5.81"/>
    <n v="3.5"/>
    <n v="8.5"/>
    <n v="389.27"/>
    <n v="67"/>
  </r>
  <r>
    <x v="13"/>
    <s v="F002"/>
    <x v="1"/>
    <x v="1"/>
    <x v="1"/>
    <n v="13.55"/>
    <n v="4.0999999999999996"/>
    <n v="9.5"/>
    <n v="1032.51"/>
    <n v="76.199999999999989"/>
  </r>
  <r>
    <x v="13"/>
    <s v="F003"/>
    <x v="2"/>
    <x v="2"/>
    <x v="2"/>
    <n v="19.27"/>
    <n v="3.5"/>
    <n v="8.1"/>
    <n v="1252.55"/>
    <n v="65"/>
  </r>
  <r>
    <x v="13"/>
    <s v="F004"/>
    <x v="3"/>
    <x v="3"/>
    <x v="3"/>
    <n v="13.66"/>
    <n v="3.9"/>
    <n v="8.5"/>
    <n v="953.47"/>
    <n v="69.800146412884331"/>
  </r>
  <r>
    <x v="13"/>
    <s v="F005"/>
    <x v="4"/>
    <x v="4"/>
    <x v="4"/>
    <n v="16.28"/>
    <n v="4.5999999999999996"/>
    <n v="8.6"/>
    <n v="1224.26"/>
    <n v="75.200245700245688"/>
  </r>
  <r>
    <x v="13"/>
    <s v="F006"/>
    <x v="5"/>
    <x v="5"/>
    <x v="5"/>
    <n v="6.57"/>
    <n v="3.9"/>
    <n v="8.6"/>
    <n v="461.87"/>
    <n v="70.299847792998477"/>
  </r>
  <r>
    <x v="13"/>
    <s v="F007"/>
    <x v="6"/>
    <x v="6"/>
    <x v="6"/>
    <n v="18.489999999999998"/>
    <n v="4.9000000000000004"/>
    <n v="8.6"/>
    <n v="1429.28"/>
    <n v="77.300162249864798"/>
  </r>
  <r>
    <x v="13"/>
    <s v="F008"/>
    <x v="7"/>
    <x v="7"/>
    <x v="7"/>
    <n v="16.46"/>
    <n v="4.2"/>
    <n v="8.5"/>
    <n v="1183.47"/>
    <n v="71.899756986634259"/>
  </r>
  <r>
    <x v="13"/>
    <s v="F009"/>
    <x v="8"/>
    <x v="8"/>
    <x v="8"/>
    <n v="18.98"/>
    <n v="4"/>
    <n v="8.1999999999999993"/>
    <n v="1309.6199999999999"/>
    <n v="68.999999999999986"/>
  </r>
  <r>
    <x v="13"/>
    <s v="F010"/>
    <x v="9"/>
    <x v="9"/>
    <x v="9"/>
    <n v="7.99"/>
    <n v="3.8"/>
    <n v="8.9"/>
    <n v="568.09"/>
    <n v="71.100125156445557"/>
  </r>
  <r>
    <x v="14"/>
    <s v="F001"/>
    <x v="0"/>
    <x v="0"/>
    <x v="0"/>
    <n v="10.29"/>
    <n v="3.5"/>
    <n v="9"/>
    <n v="715.15"/>
    <n v="69.499514091350832"/>
  </r>
  <r>
    <x v="14"/>
    <s v="F002"/>
    <x v="1"/>
    <x v="1"/>
    <x v="1"/>
    <n v="10.48"/>
    <n v="3.8"/>
    <n v="8.9"/>
    <n v="745.13"/>
    <n v="71.100190839694648"/>
  </r>
  <r>
    <x v="14"/>
    <s v="F003"/>
    <x v="2"/>
    <x v="2"/>
    <x v="2"/>
    <n v="8.77"/>
    <n v="4"/>
    <n v="9.1999999999999993"/>
    <n v="648.98"/>
    <n v="74"/>
  </r>
  <r>
    <x v="14"/>
    <s v="F004"/>
    <x v="3"/>
    <x v="3"/>
    <x v="3"/>
    <n v="10.18"/>
    <n v="3.8"/>
    <n v="9.1"/>
    <n v="733.98"/>
    <n v="72.100196463654228"/>
  </r>
  <r>
    <x v="14"/>
    <s v="F005"/>
    <x v="4"/>
    <x v="4"/>
    <x v="4"/>
    <n v="5.49"/>
    <n v="4.5999999999999996"/>
    <n v="9.3000000000000007"/>
    <n v="432.06"/>
    <n v="78.699453551912569"/>
  </r>
  <r>
    <x v="14"/>
    <s v="F006"/>
    <x v="5"/>
    <x v="5"/>
    <x v="5"/>
    <n v="16.55"/>
    <n v="4.9000000000000004"/>
    <n v="8.6"/>
    <n v="1279.32"/>
    <n v="77.300302114803614"/>
  </r>
  <r>
    <x v="14"/>
    <s v="F007"/>
    <x v="6"/>
    <x v="6"/>
    <x v="6"/>
    <n v="14.4"/>
    <n v="3.7"/>
    <n v="8.5"/>
    <n v="984.96"/>
    <n v="68.400000000000006"/>
  </r>
  <r>
    <x v="14"/>
    <s v="F008"/>
    <x v="7"/>
    <x v="7"/>
    <x v="7"/>
    <n v="6.68"/>
    <n v="4.3"/>
    <n v="8.6999999999999993"/>
    <n v="491.65"/>
    <n v="73.600299401197603"/>
  </r>
  <r>
    <x v="14"/>
    <s v="F009"/>
    <x v="8"/>
    <x v="8"/>
    <x v="8"/>
    <n v="14.91"/>
    <n v="4.3"/>
    <n v="8.8000000000000007"/>
    <n v="1104.83"/>
    <n v="74.09993293091884"/>
  </r>
  <r>
    <x v="14"/>
    <s v="F010"/>
    <x v="9"/>
    <x v="9"/>
    <x v="9"/>
    <n v="11.2"/>
    <n v="4.3"/>
    <n v="8.4"/>
    <n v="807.52"/>
    <n v="72.100000000000009"/>
  </r>
  <r>
    <x v="15"/>
    <s v="F001"/>
    <x v="0"/>
    <x v="0"/>
    <x v="0"/>
    <n v="8.9700000000000006"/>
    <n v="4.7"/>
    <n v="8.4"/>
    <n v="671.85"/>
    <n v="74.899665551839462"/>
  </r>
  <r>
    <x v="15"/>
    <s v="F002"/>
    <x v="1"/>
    <x v="1"/>
    <x v="1"/>
    <n v="9.83"/>
    <n v="4.5999999999999996"/>
    <n v="8.6"/>
    <n v="739.22"/>
    <n v="75.200406917599182"/>
  </r>
  <r>
    <x v="15"/>
    <s v="F003"/>
    <x v="2"/>
    <x v="2"/>
    <x v="2"/>
    <n v="15.6"/>
    <n v="3.7"/>
    <n v="9.1"/>
    <n v="1113.8399999999999"/>
    <n v="71.399999999999991"/>
  </r>
  <r>
    <x v="15"/>
    <s v="F004"/>
    <x v="3"/>
    <x v="3"/>
    <x v="3"/>
    <n v="8.3800000000000008"/>
    <n v="4.4000000000000004"/>
    <n v="8.9"/>
    <n v="631.01"/>
    <n v="75.299522673031021"/>
  </r>
  <r>
    <x v="15"/>
    <s v="F005"/>
    <x v="4"/>
    <x v="4"/>
    <x v="4"/>
    <n v="8.64"/>
    <n v="4.0999999999999996"/>
    <n v="9.4"/>
    <n v="654.04999999999995"/>
    <n v="75.700231481481467"/>
  </r>
  <r>
    <x v="15"/>
    <s v="F006"/>
    <x v="5"/>
    <x v="5"/>
    <x v="5"/>
    <n v="14.33"/>
    <n v="4.7"/>
    <n v="8.4"/>
    <n v="1073.32"/>
    <n v="74.900209351011853"/>
  </r>
  <r>
    <x v="15"/>
    <s v="F007"/>
    <x v="6"/>
    <x v="6"/>
    <x v="6"/>
    <n v="16.25"/>
    <n v="4.9000000000000004"/>
    <n v="9.1999999999999993"/>
    <n v="1304.8800000000001"/>
    <n v="80.300307692307697"/>
  </r>
  <r>
    <x v="15"/>
    <s v="F008"/>
    <x v="7"/>
    <x v="7"/>
    <x v="7"/>
    <n v="17.82"/>
    <n v="4.5"/>
    <n v="8.6"/>
    <n v="1327.59"/>
    <n v="74.5"/>
  </r>
  <r>
    <x v="15"/>
    <s v="F009"/>
    <x v="8"/>
    <x v="8"/>
    <x v="8"/>
    <n v="19.32"/>
    <n v="4.5999999999999996"/>
    <n v="8.5"/>
    <n v="1443.2"/>
    <n v="74.699792960662521"/>
  </r>
  <r>
    <x v="15"/>
    <s v="F010"/>
    <x v="9"/>
    <x v="9"/>
    <x v="9"/>
    <n v="13.61"/>
    <n v="4.9000000000000004"/>
    <n v="8.4"/>
    <n v="1038.44"/>
    <n v="76.29977957384277"/>
  </r>
  <r>
    <x v="16"/>
    <s v="F001"/>
    <x v="0"/>
    <x v="0"/>
    <x v="0"/>
    <n v="19.28"/>
    <n v="4.2"/>
    <n v="8.9"/>
    <n v="1424.79"/>
    <n v="73.899896265560159"/>
  </r>
  <r>
    <x v="16"/>
    <s v="F002"/>
    <x v="1"/>
    <x v="1"/>
    <x v="1"/>
    <n v="8.4"/>
    <n v="4.5"/>
    <n v="8.1999999999999993"/>
    <n v="609"/>
    <n v="72.5"/>
  </r>
  <r>
    <x v="16"/>
    <s v="F003"/>
    <x v="2"/>
    <x v="2"/>
    <x v="2"/>
    <n v="13.41"/>
    <n v="3.7"/>
    <n v="8.4"/>
    <n v="910.54"/>
    <n v="67.900074571215512"/>
  </r>
  <r>
    <x v="16"/>
    <s v="F004"/>
    <x v="3"/>
    <x v="3"/>
    <x v="3"/>
    <n v="6.39"/>
    <n v="3.9"/>
    <n v="8.3000000000000007"/>
    <n v="439.63"/>
    <n v="68.799687010954614"/>
  </r>
  <r>
    <x v="16"/>
    <s v="F005"/>
    <x v="4"/>
    <x v="4"/>
    <x v="4"/>
    <n v="13.8"/>
    <n v="3.9"/>
    <n v="8.1"/>
    <n v="935.64"/>
    <n v="67.8"/>
  </r>
  <r>
    <x v="16"/>
    <s v="F006"/>
    <x v="5"/>
    <x v="5"/>
    <x v="5"/>
    <n v="17.59"/>
    <n v="4.3"/>
    <n v="8.1999999999999993"/>
    <n v="1250.6500000000001"/>
    <n v="71.100056850483242"/>
  </r>
  <r>
    <x v="16"/>
    <s v="F007"/>
    <x v="6"/>
    <x v="6"/>
    <x v="6"/>
    <n v="12.7"/>
    <n v="4.9000000000000004"/>
    <n v="8.4"/>
    <n v="969.01"/>
    <n v="76.3"/>
  </r>
  <r>
    <x v="16"/>
    <s v="F008"/>
    <x v="7"/>
    <x v="7"/>
    <x v="7"/>
    <n v="5.78"/>
    <n v="5"/>
    <n v="8.1"/>
    <n v="436.39"/>
    <n v="75.5"/>
  </r>
  <r>
    <x v="16"/>
    <s v="F009"/>
    <x v="8"/>
    <x v="8"/>
    <x v="8"/>
    <n v="12"/>
    <n v="4.2"/>
    <n v="8.8000000000000007"/>
    <n v="880.8"/>
    <n v="73.399999999999991"/>
  </r>
  <r>
    <x v="16"/>
    <s v="F010"/>
    <x v="9"/>
    <x v="9"/>
    <x v="9"/>
    <n v="10.42"/>
    <n v="4.4000000000000004"/>
    <n v="9.1"/>
    <n v="795.05"/>
    <n v="76.300383877159305"/>
  </r>
  <r>
    <x v="17"/>
    <s v="F001"/>
    <x v="0"/>
    <x v="0"/>
    <x v="0"/>
    <n v="8.4"/>
    <n v="3.5"/>
    <n v="9"/>
    <n v="583.79999999999995"/>
    <n v="69.499999999999986"/>
  </r>
  <r>
    <x v="17"/>
    <s v="F002"/>
    <x v="1"/>
    <x v="1"/>
    <x v="1"/>
    <n v="6.95"/>
    <n v="4.2"/>
    <n v="8.5"/>
    <n v="499.71"/>
    <n v="71.900719424460434"/>
  </r>
  <r>
    <x v="17"/>
    <s v="F003"/>
    <x v="2"/>
    <x v="2"/>
    <x v="2"/>
    <n v="8.7200000000000006"/>
    <n v="4.2"/>
    <n v="8.4"/>
    <n v="622.61"/>
    <n v="71.400229357798167"/>
  </r>
  <r>
    <x v="17"/>
    <s v="F004"/>
    <x v="3"/>
    <x v="3"/>
    <x v="3"/>
    <n v="14.2"/>
    <n v="4.8"/>
    <n v="9"/>
    <n v="1116.1199999999999"/>
    <n v="78.599999999999994"/>
  </r>
  <r>
    <x v="17"/>
    <s v="F005"/>
    <x v="4"/>
    <x v="4"/>
    <x v="4"/>
    <n v="5.14"/>
    <n v="4.4000000000000004"/>
    <n v="8.4"/>
    <n v="374.19"/>
    <n v="72.799610894941637"/>
  </r>
  <r>
    <x v="17"/>
    <s v="F006"/>
    <x v="5"/>
    <x v="5"/>
    <x v="5"/>
    <n v="9.93"/>
    <n v="4"/>
    <n v="8.9"/>
    <n v="719.92"/>
    <n v="72.499496475327291"/>
  </r>
  <r>
    <x v="17"/>
    <s v="F007"/>
    <x v="6"/>
    <x v="6"/>
    <x v="6"/>
    <n v="5.16"/>
    <n v="4.5999999999999996"/>
    <n v="8.9"/>
    <n v="395.77"/>
    <n v="76.699612403100772"/>
  </r>
  <r>
    <x v="17"/>
    <s v="F008"/>
    <x v="7"/>
    <x v="7"/>
    <x v="7"/>
    <n v="7.75"/>
    <n v="4.2"/>
    <n v="9.1"/>
    <n v="580.48"/>
    <n v="74.900645161290328"/>
  </r>
  <r>
    <x v="17"/>
    <s v="F009"/>
    <x v="8"/>
    <x v="8"/>
    <x v="8"/>
    <n v="17.920000000000002"/>
    <n v="3.6"/>
    <n v="9"/>
    <n v="1257.98"/>
    <n v="70.199776785714278"/>
  </r>
  <r>
    <x v="17"/>
    <s v="F010"/>
    <x v="9"/>
    <x v="9"/>
    <x v="9"/>
    <n v="18.649999999999999"/>
    <n v="3.9"/>
    <n v="8.9"/>
    <n v="1339.07"/>
    <n v="71.8"/>
  </r>
  <r>
    <x v="18"/>
    <s v="F001"/>
    <x v="0"/>
    <x v="0"/>
    <x v="0"/>
    <n v="18.07"/>
    <n v="4.5999999999999996"/>
    <n v="8.9"/>
    <n v="1385.97"/>
    <n v="76.700055340343113"/>
  </r>
  <r>
    <x v="18"/>
    <s v="F002"/>
    <x v="1"/>
    <x v="1"/>
    <x v="1"/>
    <n v="18.97"/>
    <n v="4.9000000000000004"/>
    <n v="9.1999999999999993"/>
    <n v="1523.29"/>
    <n v="80.299947285187145"/>
  </r>
  <r>
    <x v="18"/>
    <s v="F003"/>
    <x v="2"/>
    <x v="2"/>
    <x v="2"/>
    <n v="12.65"/>
    <n v="3.8"/>
    <n v="9.1999999999999993"/>
    <n v="918.39"/>
    <n v="72.599999999999994"/>
  </r>
  <r>
    <x v="18"/>
    <s v="F004"/>
    <x v="3"/>
    <x v="3"/>
    <x v="3"/>
    <n v="9.9"/>
    <n v="4.9000000000000004"/>
    <n v="8.1999999999999993"/>
    <n v="745.47"/>
    <n v="75.3"/>
  </r>
  <r>
    <x v="18"/>
    <s v="F005"/>
    <x v="4"/>
    <x v="4"/>
    <x v="4"/>
    <n v="9.6999999999999993"/>
    <n v="4.7"/>
    <n v="8"/>
    <n v="707.13"/>
    <n v="72.900000000000006"/>
  </r>
  <r>
    <x v="18"/>
    <s v="F006"/>
    <x v="5"/>
    <x v="5"/>
    <x v="5"/>
    <n v="12.68"/>
    <n v="3.7"/>
    <n v="8.3000000000000007"/>
    <n v="854.63"/>
    <n v="67.39984227129338"/>
  </r>
  <r>
    <x v="18"/>
    <s v="F007"/>
    <x v="6"/>
    <x v="6"/>
    <x v="6"/>
    <n v="5.12"/>
    <n v="4"/>
    <n v="8.1999999999999993"/>
    <n v="353.28"/>
    <n v="69"/>
  </r>
  <r>
    <x v="18"/>
    <s v="F008"/>
    <x v="7"/>
    <x v="7"/>
    <x v="7"/>
    <n v="6.1"/>
    <n v="4.9000000000000004"/>
    <n v="8.6"/>
    <n v="471.53"/>
    <n v="77.3"/>
  </r>
  <r>
    <x v="18"/>
    <s v="F009"/>
    <x v="8"/>
    <x v="8"/>
    <x v="8"/>
    <n v="17.8"/>
    <n v="4.5999999999999996"/>
    <n v="9"/>
    <n v="1374.16"/>
    <n v="77.2"/>
  </r>
  <r>
    <x v="18"/>
    <s v="F010"/>
    <x v="9"/>
    <x v="9"/>
    <x v="9"/>
    <n v="12.84"/>
    <n v="4.7"/>
    <n v="9.1999999999999993"/>
    <n v="1013.08"/>
    <n v="78.900311526479754"/>
  </r>
  <r>
    <x v="19"/>
    <s v="F001"/>
    <x v="0"/>
    <x v="0"/>
    <x v="0"/>
    <n v="15.98"/>
    <n v="3.9"/>
    <n v="9.1"/>
    <n v="1163.3399999999999"/>
    <n v="72.799749687108886"/>
  </r>
  <r>
    <x v="19"/>
    <s v="F002"/>
    <x v="1"/>
    <x v="1"/>
    <x v="1"/>
    <n v="6"/>
    <n v="4.9000000000000004"/>
    <n v="8.5"/>
    <n v="460.8"/>
    <n v="76.8"/>
  </r>
  <r>
    <x v="19"/>
    <s v="F003"/>
    <x v="2"/>
    <x v="2"/>
    <x v="2"/>
    <n v="10.38"/>
    <n v="4.8"/>
    <n v="8.4"/>
    <n v="784.73"/>
    <n v="75.600192678227359"/>
  </r>
  <r>
    <x v="19"/>
    <s v="F004"/>
    <x v="3"/>
    <x v="3"/>
    <x v="3"/>
    <n v="11"/>
    <n v="4.9000000000000004"/>
    <n v="9"/>
    <n v="872.3"/>
    <n v="79.3"/>
  </r>
  <r>
    <x v="19"/>
    <s v="F005"/>
    <x v="4"/>
    <x v="4"/>
    <x v="4"/>
    <n v="8.84"/>
    <n v="4.4000000000000004"/>
    <n v="8.6999999999999993"/>
    <n v="656.81"/>
    <n v="74.299773755656105"/>
  </r>
  <r>
    <x v="19"/>
    <s v="F006"/>
    <x v="5"/>
    <x v="5"/>
    <x v="5"/>
    <n v="13.96"/>
    <n v="4.9000000000000004"/>
    <n v="8.1999999999999993"/>
    <n v="1051.19"/>
    <n v="75.300143266475644"/>
  </r>
  <r>
    <x v="19"/>
    <s v="F007"/>
    <x v="6"/>
    <x v="6"/>
    <x v="6"/>
    <n v="18.239999999999998"/>
    <n v="3.5"/>
    <n v="8.6"/>
    <n v="1231.2"/>
    <n v="67.500000000000014"/>
  </r>
  <r>
    <x v="19"/>
    <s v="F008"/>
    <x v="7"/>
    <x v="7"/>
    <x v="7"/>
    <n v="8.35"/>
    <n v="4"/>
    <n v="8.6"/>
    <n v="592.85"/>
    <n v="71"/>
  </r>
  <r>
    <x v="19"/>
    <s v="F009"/>
    <x v="8"/>
    <x v="8"/>
    <x v="8"/>
    <n v="12.9"/>
    <n v="4"/>
    <n v="8.8000000000000007"/>
    <n v="928.8"/>
    <n v="72"/>
  </r>
  <r>
    <x v="19"/>
    <s v="F010"/>
    <x v="9"/>
    <x v="9"/>
    <x v="9"/>
    <n v="19.489999999999998"/>
    <n v="3.5"/>
    <n v="8.8000000000000007"/>
    <n v="1335.06"/>
    <n v="68.499743458183687"/>
  </r>
  <r>
    <x v="20"/>
    <s v="F001"/>
    <x v="0"/>
    <x v="0"/>
    <x v="0"/>
    <n v="14.7"/>
    <n v="3.9"/>
    <n v="8.4"/>
    <n v="1018.71"/>
    <n v="69.300000000000011"/>
  </r>
  <r>
    <x v="20"/>
    <s v="F002"/>
    <x v="1"/>
    <x v="1"/>
    <x v="1"/>
    <n v="12.6"/>
    <n v="4.5"/>
    <n v="9.4"/>
    <n v="989.1"/>
    <n v="78.5"/>
  </r>
  <r>
    <x v="20"/>
    <s v="F003"/>
    <x v="2"/>
    <x v="2"/>
    <x v="2"/>
    <n v="5.47"/>
    <n v="3.6"/>
    <n v="9.5"/>
    <n v="397.67"/>
    <n v="72.700182815356499"/>
  </r>
  <r>
    <x v="20"/>
    <s v="F004"/>
    <x v="3"/>
    <x v="3"/>
    <x v="3"/>
    <n v="7.12"/>
    <n v="3.6"/>
    <n v="8.1999999999999993"/>
    <n v="471.34"/>
    <n v="66.19943820224718"/>
  </r>
  <r>
    <x v="20"/>
    <s v="F005"/>
    <x v="4"/>
    <x v="4"/>
    <x v="4"/>
    <n v="15.15"/>
    <n v="4.2"/>
    <n v="8"/>
    <n v="1051.4100000000001"/>
    <n v="69.400000000000006"/>
  </r>
  <r>
    <x v="20"/>
    <s v="F006"/>
    <x v="5"/>
    <x v="5"/>
    <x v="5"/>
    <n v="12.13"/>
    <n v="4.7"/>
    <n v="8.9"/>
    <n v="938.86"/>
    <n v="77.399835119538338"/>
  </r>
  <r>
    <x v="20"/>
    <s v="F007"/>
    <x v="6"/>
    <x v="6"/>
    <x v="6"/>
    <n v="14.02"/>
    <n v="4.8"/>
    <n v="8.8000000000000007"/>
    <n v="1087.95"/>
    <n v="77.599857346647653"/>
  </r>
  <r>
    <x v="20"/>
    <s v="F008"/>
    <x v="7"/>
    <x v="7"/>
    <x v="7"/>
    <n v="8.1"/>
    <n v="3.7"/>
    <n v="8.1999999999999993"/>
    <n v="541.89"/>
    <n v="66.900000000000006"/>
  </r>
  <r>
    <x v="20"/>
    <s v="F009"/>
    <x v="8"/>
    <x v="8"/>
    <x v="8"/>
    <n v="9.5399999999999991"/>
    <n v="4.4000000000000004"/>
    <n v="8.3000000000000007"/>
    <n v="689.74"/>
    <n v="72.299790356394141"/>
  </r>
  <r>
    <x v="20"/>
    <s v="F010"/>
    <x v="9"/>
    <x v="9"/>
    <x v="9"/>
    <n v="8.5299999999999994"/>
    <n v="4.5999999999999996"/>
    <n v="9.1"/>
    <n v="662.78"/>
    <n v="77.699882766705741"/>
  </r>
  <r>
    <x v="21"/>
    <s v="F001"/>
    <x v="0"/>
    <x v="0"/>
    <x v="0"/>
    <n v="14.64"/>
    <n v="4.0999999999999996"/>
    <n v="8.3000000000000007"/>
    <n v="1027.73"/>
    <n v="70.200136612021851"/>
  </r>
  <r>
    <x v="21"/>
    <s v="F002"/>
    <x v="1"/>
    <x v="1"/>
    <x v="1"/>
    <n v="19.88"/>
    <n v="4.3"/>
    <n v="8.9"/>
    <n v="1483.05"/>
    <n v="74.600100603621726"/>
  </r>
  <r>
    <x v="21"/>
    <s v="F003"/>
    <x v="2"/>
    <x v="2"/>
    <x v="2"/>
    <n v="7.63"/>
    <n v="4"/>
    <n v="8.6999999999999993"/>
    <n v="545.54"/>
    <n v="71.499344692005238"/>
  </r>
  <r>
    <x v="21"/>
    <s v="F004"/>
    <x v="3"/>
    <x v="3"/>
    <x v="3"/>
    <n v="15.15"/>
    <n v="3.8"/>
    <n v="8"/>
    <n v="1008.99"/>
    <n v="66.599999999999994"/>
  </r>
  <r>
    <x v="21"/>
    <s v="F005"/>
    <x v="4"/>
    <x v="4"/>
    <x v="4"/>
    <n v="10.3"/>
    <n v="4"/>
    <n v="8.6999999999999993"/>
    <n v="736.45"/>
    <n v="71.5"/>
  </r>
  <r>
    <x v="21"/>
    <s v="F006"/>
    <x v="5"/>
    <x v="5"/>
    <x v="5"/>
    <n v="18.350000000000001"/>
    <n v="3.9"/>
    <n v="8.1"/>
    <n v="1244.1300000000001"/>
    <n v="67.8"/>
  </r>
  <r>
    <x v="21"/>
    <s v="F007"/>
    <x v="6"/>
    <x v="6"/>
    <x v="6"/>
    <n v="14.88"/>
    <n v="4"/>
    <n v="8.1"/>
    <n v="1019.28"/>
    <n v="68.5"/>
  </r>
  <r>
    <x v="21"/>
    <s v="F008"/>
    <x v="7"/>
    <x v="7"/>
    <x v="7"/>
    <n v="13.24"/>
    <n v="4.7"/>
    <n v="8.6999999999999993"/>
    <n v="1011.54"/>
    <n v="76.400302114803623"/>
  </r>
  <r>
    <x v="21"/>
    <s v="F009"/>
    <x v="8"/>
    <x v="8"/>
    <x v="8"/>
    <n v="18.96"/>
    <n v="3.9"/>
    <n v="8.6"/>
    <n v="1332.89"/>
    <n v="70.300105485232066"/>
  </r>
  <r>
    <x v="21"/>
    <s v="F010"/>
    <x v="9"/>
    <x v="9"/>
    <x v="9"/>
    <n v="12.74"/>
    <n v="4.5"/>
    <n v="8.6999999999999993"/>
    <n v="955.5"/>
    <n v="75"/>
  </r>
  <r>
    <x v="22"/>
    <s v="F001"/>
    <x v="0"/>
    <x v="0"/>
    <x v="0"/>
    <n v="7.76"/>
    <n v="4"/>
    <n v="9.1"/>
    <n v="570.36"/>
    <n v="73.5"/>
  </r>
  <r>
    <x v="22"/>
    <s v="F002"/>
    <x v="1"/>
    <x v="1"/>
    <x v="1"/>
    <n v="16.91"/>
    <n v="4"/>
    <n v="8.8000000000000007"/>
    <n v="1217.52"/>
    <n v="72"/>
  </r>
  <r>
    <x v="22"/>
    <s v="F003"/>
    <x v="2"/>
    <x v="2"/>
    <x v="2"/>
    <n v="12.51"/>
    <n v="3.6"/>
    <n v="8.3000000000000007"/>
    <n v="834.42"/>
    <n v="66.700239808153469"/>
  </r>
  <r>
    <x v="22"/>
    <s v="F004"/>
    <x v="3"/>
    <x v="3"/>
    <x v="3"/>
    <n v="15.98"/>
    <n v="4"/>
    <n v="8.3000000000000007"/>
    <n v="1110.6099999999999"/>
    <n v="69.499999999999986"/>
  </r>
  <r>
    <x v="22"/>
    <s v="F005"/>
    <x v="4"/>
    <x v="4"/>
    <x v="4"/>
    <n v="10.71"/>
    <n v="4.7"/>
    <n v="8.3000000000000007"/>
    <n v="796.82"/>
    <n v="74.399626517273575"/>
  </r>
  <r>
    <x v="22"/>
    <s v="F006"/>
    <x v="5"/>
    <x v="5"/>
    <x v="5"/>
    <n v="10.68"/>
    <n v="3.8"/>
    <n v="9.3000000000000007"/>
    <n v="780.71"/>
    <n v="73.100187265917612"/>
  </r>
  <r>
    <x v="22"/>
    <s v="F007"/>
    <x v="6"/>
    <x v="6"/>
    <x v="6"/>
    <n v="19.3"/>
    <n v="4.3"/>
    <n v="8.3000000000000007"/>
    <n v="1381.88"/>
    <n v="71.600000000000009"/>
  </r>
  <r>
    <x v="22"/>
    <s v="F008"/>
    <x v="7"/>
    <x v="7"/>
    <x v="7"/>
    <n v="6.83"/>
    <n v="4.2"/>
    <n v="8.1"/>
    <n v="477.42"/>
    <n v="69.900439238653007"/>
  </r>
  <r>
    <x v="22"/>
    <s v="F009"/>
    <x v="8"/>
    <x v="8"/>
    <x v="8"/>
    <n v="16.61"/>
    <n v="4.4000000000000004"/>
    <n v="8.6999999999999993"/>
    <n v="1234.1199999999999"/>
    <n v="74.299819385912102"/>
  </r>
  <r>
    <x v="22"/>
    <s v="F010"/>
    <x v="9"/>
    <x v="9"/>
    <x v="9"/>
    <n v="7.42"/>
    <n v="4.4000000000000004"/>
    <n v="9.5"/>
    <n v="580.99"/>
    <n v="78.30053908355795"/>
  </r>
  <r>
    <x v="23"/>
    <s v="F001"/>
    <x v="0"/>
    <x v="0"/>
    <x v="0"/>
    <n v="11.73"/>
    <n v="4.0999999999999996"/>
    <n v="8.3000000000000007"/>
    <n v="823.45"/>
    <n v="70.200341005967601"/>
  </r>
  <r>
    <x v="23"/>
    <s v="F002"/>
    <x v="1"/>
    <x v="1"/>
    <x v="1"/>
    <n v="11.66"/>
    <n v="3.7"/>
    <n v="9.1"/>
    <n v="832.52"/>
    <n v="71.399656946826752"/>
  </r>
  <r>
    <x v="23"/>
    <s v="F003"/>
    <x v="2"/>
    <x v="2"/>
    <x v="2"/>
    <n v="13.49"/>
    <n v="4.9000000000000004"/>
    <n v="9.1"/>
    <n v="1076.5"/>
    <n v="79.799851742031137"/>
  </r>
  <r>
    <x v="23"/>
    <s v="F004"/>
    <x v="3"/>
    <x v="3"/>
    <x v="3"/>
    <n v="5.18"/>
    <n v="3.8"/>
    <n v="8.5"/>
    <n v="357.94"/>
    <n v="69.100386100386103"/>
  </r>
  <r>
    <x v="23"/>
    <s v="F005"/>
    <x v="4"/>
    <x v="4"/>
    <x v="4"/>
    <n v="6.11"/>
    <n v="4.8"/>
    <n v="8.5"/>
    <n v="464.97"/>
    <n v="76.099836333878883"/>
  </r>
  <r>
    <x v="23"/>
    <s v="F006"/>
    <x v="5"/>
    <x v="5"/>
    <x v="5"/>
    <n v="12.9"/>
    <n v="3.8"/>
    <n v="8.6999999999999993"/>
    <n v="904.29"/>
    <n v="70.099999999999994"/>
  </r>
  <r>
    <x v="23"/>
    <s v="F007"/>
    <x v="6"/>
    <x v="6"/>
    <x v="6"/>
    <n v="6.72"/>
    <n v="3.9"/>
    <n v="8.9"/>
    <n v="482.5"/>
    <n v="71.800595238095241"/>
  </r>
  <r>
    <x v="23"/>
    <s v="F008"/>
    <x v="7"/>
    <x v="7"/>
    <x v="7"/>
    <n v="15.68"/>
    <n v="5"/>
    <n v="9.1"/>
    <n v="1262.24"/>
    <n v="80.5"/>
  </r>
  <r>
    <x v="23"/>
    <s v="F009"/>
    <x v="8"/>
    <x v="8"/>
    <x v="8"/>
    <n v="16.5"/>
    <n v="3.5"/>
    <n v="8.6999999999999993"/>
    <n v="1122"/>
    <n v="68"/>
  </r>
  <r>
    <x v="23"/>
    <s v="F010"/>
    <x v="9"/>
    <x v="9"/>
    <x v="9"/>
    <n v="5.07"/>
    <n v="4.7"/>
    <n v="8"/>
    <n v="369.6"/>
    <n v="72.899408284023664"/>
  </r>
  <r>
    <x v="24"/>
    <s v="F001"/>
    <x v="0"/>
    <x v="0"/>
    <x v="0"/>
    <n v="14.7"/>
    <n v="4.2"/>
    <n v="8.3000000000000007"/>
    <n v="1042.23"/>
    <n v="70.900000000000006"/>
  </r>
  <r>
    <x v="24"/>
    <s v="F002"/>
    <x v="1"/>
    <x v="1"/>
    <x v="1"/>
    <n v="19.68"/>
    <n v="4.2"/>
    <n v="8.1999999999999993"/>
    <n v="1385.47"/>
    <n v="70.399898373983746"/>
  </r>
  <r>
    <x v="24"/>
    <s v="F003"/>
    <x v="2"/>
    <x v="2"/>
    <x v="2"/>
    <n v="5.2"/>
    <n v="3.8"/>
    <n v="8.4"/>
    <n v="356.72"/>
    <n v="68.600000000000009"/>
  </r>
  <r>
    <x v="24"/>
    <s v="F004"/>
    <x v="3"/>
    <x v="3"/>
    <x v="3"/>
    <n v="19.36"/>
    <n v="3.6"/>
    <n v="8.1999999999999993"/>
    <n v="1281.6300000000001"/>
    <n v="66.199896694214885"/>
  </r>
  <r>
    <x v="24"/>
    <s v="F005"/>
    <x v="4"/>
    <x v="4"/>
    <x v="4"/>
    <n v="8.86"/>
    <n v="4.4000000000000004"/>
    <n v="8.3000000000000007"/>
    <n v="640.58000000000004"/>
    <n v="72.300225733634321"/>
  </r>
  <r>
    <x v="24"/>
    <s v="F006"/>
    <x v="5"/>
    <x v="5"/>
    <x v="5"/>
    <n v="5.0199999999999996"/>
    <n v="4.5"/>
    <n v="8.4"/>
    <n v="368.97"/>
    <n v="73.500000000000014"/>
  </r>
  <r>
    <x v="24"/>
    <s v="F007"/>
    <x v="6"/>
    <x v="6"/>
    <x v="6"/>
    <n v="14.67"/>
    <n v="4.2"/>
    <n v="9.4"/>
    <n v="1120.79"/>
    <n v="76.40013633265167"/>
  </r>
  <r>
    <x v="24"/>
    <s v="F008"/>
    <x v="7"/>
    <x v="7"/>
    <x v="7"/>
    <n v="10.14"/>
    <n v="4"/>
    <n v="8.1999999999999993"/>
    <n v="699.66"/>
    <n v="69"/>
  </r>
  <r>
    <x v="24"/>
    <s v="F009"/>
    <x v="8"/>
    <x v="8"/>
    <x v="8"/>
    <n v="9.64"/>
    <n v="3.6"/>
    <n v="8.6999999999999993"/>
    <n v="662.27"/>
    <n v="68.700207468879668"/>
  </r>
  <r>
    <x v="24"/>
    <s v="F010"/>
    <x v="9"/>
    <x v="9"/>
    <x v="9"/>
    <n v="7.42"/>
    <n v="4.0999999999999996"/>
    <n v="8.6"/>
    <n v="532.01"/>
    <n v="71.69946091644205"/>
  </r>
  <r>
    <x v="25"/>
    <s v="F001"/>
    <x v="0"/>
    <x v="0"/>
    <x v="0"/>
    <n v="7.72"/>
    <n v="4.8"/>
    <n v="9.3000000000000007"/>
    <n v="618.37"/>
    <n v="80.09974093264249"/>
  </r>
  <r>
    <x v="25"/>
    <s v="F002"/>
    <x v="1"/>
    <x v="1"/>
    <x v="1"/>
    <n v="9.9600000000000009"/>
    <n v="4"/>
    <n v="9"/>
    <n v="727.08"/>
    <n v="73"/>
  </r>
  <r>
    <x v="25"/>
    <s v="F003"/>
    <x v="2"/>
    <x v="2"/>
    <x v="2"/>
    <n v="19.2"/>
    <n v="5"/>
    <n v="9.1"/>
    <n v="1545.6"/>
    <n v="80.5"/>
  </r>
  <r>
    <x v="25"/>
    <s v="F004"/>
    <x v="3"/>
    <x v="3"/>
    <x v="3"/>
    <n v="8.65"/>
    <n v="4.8"/>
    <n v="8"/>
    <n v="636.64"/>
    <n v="73.599999999999994"/>
  </r>
  <r>
    <x v="25"/>
    <s v="F005"/>
    <x v="4"/>
    <x v="4"/>
    <x v="4"/>
    <n v="14.2"/>
    <n v="3.6"/>
    <n v="8.1"/>
    <n v="932.94"/>
    <n v="65.7"/>
  </r>
  <r>
    <x v="25"/>
    <s v="F006"/>
    <x v="5"/>
    <x v="5"/>
    <x v="5"/>
    <n v="10.54"/>
    <n v="4"/>
    <n v="8.6"/>
    <n v="748.34"/>
    <n v="71.000000000000014"/>
  </r>
  <r>
    <x v="25"/>
    <s v="F007"/>
    <x v="6"/>
    <x v="6"/>
    <x v="6"/>
    <n v="16.829999999999998"/>
    <n v="3.6"/>
    <n v="9"/>
    <n v="1181.47"/>
    <n v="70.200237670825913"/>
  </r>
  <r>
    <x v="25"/>
    <s v="F008"/>
    <x v="7"/>
    <x v="7"/>
    <x v="7"/>
    <n v="18.18"/>
    <n v="3.9"/>
    <n v="8.5"/>
    <n v="1268.96"/>
    <n v="69.799779977997801"/>
  </r>
  <r>
    <x v="25"/>
    <s v="F009"/>
    <x v="8"/>
    <x v="8"/>
    <x v="8"/>
    <n v="10.46"/>
    <n v="4"/>
    <n v="9.3000000000000007"/>
    <n v="779.27"/>
    <n v="74.499999999999986"/>
  </r>
  <r>
    <x v="25"/>
    <s v="F010"/>
    <x v="9"/>
    <x v="9"/>
    <x v="9"/>
    <n v="13.52"/>
    <n v="4.4000000000000004"/>
    <n v="8.1"/>
    <n v="963.98"/>
    <n v="71.300295857988175"/>
  </r>
  <r>
    <x v="26"/>
    <s v="F001"/>
    <x v="0"/>
    <x v="0"/>
    <x v="0"/>
    <n v="18.47"/>
    <n v="3.9"/>
    <n v="8.6999999999999993"/>
    <n v="1307.68"/>
    <n v="70.800216567406608"/>
  </r>
  <r>
    <x v="26"/>
    <s v="F002"/>
    <x v="1"/>
    <x v="1"/>
    <x v="1"/>
    <n v="14.76"/>
    <n v="3.6"/>
    <n v="9"/>
    <n v="1036.1500000000001"/>
    <n v="70.199864498644999"/>
  </r>
  <r>
    <x v="26"/>
    <s v="F003"/>
    <x v="2"/>
    <x v="2"/>
    <x v="2"/>
    <n v="10.58"/>
    <n v="4.5"/>
    <n v="8.4"/>
    <n v="777.63"/>
    <n v="73.5"/>
  </r>
  <r>
    <x v="26"/>
    <s v="F004"/>
    <x v="3"/>
    <x v="3"/>
    <x v="3"/>
    <n v="14.38"/>
    <n v="4"/>
    <n v="8.8000000000000007"/>
    <n v="1035.3599999999999"/>
    <n v="71.999999999999986"/>
  </r>
  <r>
    <x v="26"/>
    <s v="F005"/>
    <x v="4"/>
    <x v="4"/>
    <x v="4"/>
    <n v="5.2"/>
    <n v="3.7"/>
    <n v="8.6"/>
    <n v="358.28"/>
    <n v="68.899999999999991"/>
  </r>
  <r>
    <x v="26"/>
    <s v="F006"/>
    <x v="5"/>
    <x v="5"/>
    <x v="5"/>
    <n v="12.31"/>
    <n v="4.9000000000000004"/>
    <n v="8.9"/>
    <n v="970.03"/>
    <n v="78.800162469536957"/>
  </r>
  <r>
    <x v="26"/>
    <s v="F007"/>
    <x v="6"/>
    <x v="6"/>
    <x v="6"/>
    <n v="11.86"/>
    <n v="4.4000000000000004"/>
    <n v="9"/>
    <n v="898.99"/>
    <n v="75.800168634064079"/>
  </r>
  <r>
    <x v="26"/>
    <s v="F008"/>
    <x v="7"/>
    <x v="7"/>
    <x v="7"/>
    <n v="7.87"/>
    <n v="4.2"/>
    <n v="8"/>
    <n v="546.17999999999995"/>
    <n v="69.400254129606097"/>
  </r>
  <r>
    <x v="26"/>
    <s v="F009"/>
    <x v="8"/>
    <x v="8"/>
    <x v="8"/>
    <n v="13.49"/>
    <n v="3.9"/>
    <n v="8.8000000000000007"/>
    <n v="961.84"/>
    <n v="71.300222386953294"/>
  </r>
  <r>
    <x v="26"/>
    <s v="F010"/>
    <x v="9"/>
    <x v="9"/>
    <x v="9"/>
    <n v="16.37"/>
    <n v="5"/>
    <n v="8.5"/>
    <n v="1268.68"/>
    <n v="77.500305436774582"/>
  </r>
  <r>
    <x v="27"/>
    <s v="F001"/>
    <x v="0"/>
    <x v="0"/>
    <x v="0"/>
    <n v="12.71"/>
    <n v="4.8"/>
    <n v="8.8000000000000007"/>
    <n v="986.3"/>
    <n v="77.600314712824542"/>
  </r>
  <r>
    <x v="27"/>
    <s v="F002"/>
    <x v="1"/>
    <x v="1"/>
    <x v="1"/>
    <n v="13.19"/>
    <n v="3.7"/>
    <n v="8.6999999999999993"/>
    <n v="915.39"/>
    <n v="69.40030326004549"/>
  </r>
  <r>
    <x v="27"/>
    <s v="F003"/>
    <x v="2"/>
    <x v="2"/>
    <x v="2"/>
    <n v="15.33"/>
    <n v="5"/>
    <n v="8.6"/>
    <n v="1195.74"/>
    <n v="78"/>
  </r>
  <r>
    <x v="27"/>
    <s v="F004"/>
    <x v="3"/>
    <x v="3"/>
    <x v="3"/>
    <n v="10.75"/>
    <n v="4.0999999999999996"/>
    <n v="9.1999999999999993"/>
    <n v="803.02"/>
    <n v="74.699534883720929"/>
  </r>
  <r>
    <x v="27"/>
    <s v="F005"/>
    <x v="4"/>
    <x v="4"/>
    <x v="4"/>
    <n v="14.44"/>
    <n v="4.9000000000000004"/>
    <n v="9.1999999999999993"/>
    <n v="1159.53"/>
    <n v="80.29986149584488"/>
  </r>
  <r>
    <x v="27"/>
    <s v="F006"/>
    <x v="5"/>
    <x v="5"/>
    <x v="5"/>
    <n v="7.03"/>
    <n v="3.7"/>
    <n v="8.8000000000000007"/>
    <n v="491.4"/>
    <n v="69.900426742532005"/>
  </r>
  <r>
    <x v="27"/>
    <s v="F007"/>
    <x v="6"/>
    <x v="6"/>
    <x v="6"/>
    <n v="9.9499999999999993"/>
    <n v="3.9"/>
    <n v="8.8000000000000007"/>
    <n v="709.43"/>
    <n v="71.299497487437179"/>
  </r>
  <r>
    <x v="27"/>
    <s v="F008"/>
    <x v="7"/>
    <x v="7"/>
    <x v="7"/>
    <n v="15.27"/>
    <n v="4.7"/>
    <n v="9.5"/>
    <n v="1227.71"/>
    <n v="80.400130975769486"/>
  </r>
  <r>
    <x v="27"/>
    <s v="F009"/>
    <x v="8"/>
    <x v="8"/>
    <x v="8"/>
    <n v="5.22"/>
    <n v="4.5"/>
    <n v="8.9"/>
    <n v="396.72"/>
    <n v="76.000000000000014"/>
  </r>
  <r>
    <x v="27"/>
    <s v="F010"/>
    <x v="9"/>
    <x v="9"/>
    <x v="9"/>
    <n v="9.8699999999999992"/>
    <n v="3.9"/>
    <n v="9.1999999999999993"/>
    <n v="723.47"/>
    <n v="73.299898682877412"/>
  </r>
  <r>
    <x v="28"/>
    <s v="F001"/>
    <x v="0"/>
    <x v="0"/>
    <x v="0"/>
    <n v="17.239999999999998"/>
    <n v="4.7"/>
    <n v="8.8000000000000007"/>
    <n v="1325.76"/>
    <n v="76.900232018561496"/>
  </r>
  <r>
    <x v="28"/>
    <s v="F002"/>
    <x v="1"/>
    <x v="1"/>
    <x v="1"/>
    <n v="14.69"/>
    <n v="4.0999999999999996"/>
    <n v="8.6"/>
    <n v="1053.27"/>
    <n v="71.6997957794418"/>
  </r>
  <r>
    <x v="28"/>
    <s v="F003"/>
    <x v="2"/>
    <x v="2"/>
    <x v="2"/>
    <n v="18.53"/>
    <n v="4.2"/>
    <n v="9.1"/>
    <n v="1387.9"/>
    <n v="74.900161899622233"/>
  </r>
  <r>
    <x v="28"/>
    <s v="F004"/>
    <x v="3"/>
    <x v="3"/>
    <x v="3"/>
    <n v="17.22"/>
    <n v="4.3"/>
    <n v="8.4"/>
    <n v="1241.56"/>
    <n v="72.099883855981417"/>
  </r>
  <r>
    <x v="28"/>
    <s v="F005"/>
    <x v="4"/>
    <x v="4"/>
    <x v="4"/>
    <n v="15.15"/>
    <n v="4.9000000000000004"/>
    <n v="8.8000000000000007"/>
    <n v="1186.25"/>
    <n v="78.300330033003291"/>
  </r>
  <r>
    <x v="28"/>
    <s v="F006"/>
    <x v="5"/>
    <x v="5"/>
    <x v="5"/>
    <n v="7.4"/>
    <n v="4.0999999999999996"/>
    <n v="8.8000000000000007"/>
    <n v="537.98"/>
    <n v="72.7"/>
  </r>
  <r>
    <x v="28"/>
    <s v="F007"/>
    <x v="6"/>
    <x v="6"/>
    <x v="6"/>
    <n v="13.46"/>
    <n v="4.9000000000000004"/>
    <n v="8.6"/>
    <n v="1040.46"/>
    <n v="77.300148588410096"/>
  </r>
  <r>
    <x v="28"/>
    <s v="F008"/>
    <x v="7"/>
    <x v="7"/>
    <x v="7"/>
    <n v="15.49"/>
    <n v="4.4000000000000004"/>
    <n v="8.6999999999999993"/>
    <n v="1150.9100000000001"/>
    <n v="74.300193673337645"/>
  </r>
  <r>
    <x v="28"/>
    <s v="F009"/>
    <x v="8"/>
    <x v="8"/>
    <x v="8"/>
    <n v="7.21"/>
    <n v="4.0999999999999996"/>
    <n v="9.1999999999999993"/>
    <n v="538.59"/>
    <n v="74.700416088765607"/>
  </r>
  <r>
    <x v="28"/>
    <s v="F010"/>
    <x v="9"/>
    <x v="9"/>
    <x v="9"/>
    <n v="14.58"/>
    <n v="3.9"/>
    <n v="8"/>
    <n v="981.23"/>
    <n v="67.299725651577504"/>
  </r>
  <r>
    <x v="29"/>
    <s v="F001"/>
    <x v="0"/>
    <x v="0"/>
    <x v="0"/>
    <n v="6.67"/>
    <n v="4.3"/>
    <n v="9"/>
    <n v="500.92"/>
    <n v="75.100449775112452"/>
  </r>
  <r>
    <x v="29"/>
    <s v="F002"/>
    <x v="1"/>
    <x v="1"/>
    <x v="1"/>
    <n v="18.75"/>
    <n v="3.6"/>
    <n v="8.4"/>
    <n v="1260"/>
    <n v="67.2"/>
  </r>
  <r>
    <x v="29"/>
    <s v="F003"/>
    <x v="2"/>
    <x v="2"/>
    <x v="2"/>
    <n v="19.57"/>
    <n v="4"/>
    <n v="9.1999999999999993"/>
    <n v="1448.18"/>
    <n v="74"/>
  </r>
  <r>
    <x v="29"/>
    <s v="F004"/>
    <x v="3"/>
    <x v="3"/>
    <x v="3"/>
    <n v="18.940000000000001"/>
    <n v="4.2"/>
    <n v="8.4"/>
    <n v="1352.32"/>
    <n v="71.400211193241802"/>
  </r>
  <r>
    <x v="29"/>
    <s v="F005"/>
    <x v="4"/>
    <x v="4"/>
    <x v="4"/>
    <n v="13.65"/>
    <n v="4.5"/>
    <n v="9"/>
    <n v="1044.23"/>
    <n v="76.500366300366295"/>
  </r>
  <r>
    <x v="29"/>
    <s v="F006"/>
    <x v="5"/>
    <x v="5"/>
    <x v="5"/>
    <n v="18.79"/>
    <n v="3.9"/>
    <n v="8.4"/>
    <n v="1302.1500000000001"/>
    <n v="69.300159659393302"/>
  </r>
  <r>
    <x v="29"/>
    <s v="F007"/>
    <x v="6"/>
    <x v="6"/>
    <x v="6"/>
    <n v="8.9499999999999993"/>
    <n v="4.2"/>
    <n v="8.1999999999999993"/>
    <n v="630.08000000000004"/>
    <n v="70.400000000000006"/>
  </r>
  <r>
    <x v="29"/>
    <s v="F008"/>
    <x v="7"/>
    <x v="7"/>
    <x v="7"/>
    <n v="14.03"/>
    <n v="5"/>
    <n v="8.3000000000000007"/>
    <n v="1073.29"/>
    <n v="76.499643620812549"/>
  </r>
  <r>
    <x v="29"/>
    <s v="F009"/>
    <x v="8"/>
    <x v="8"/>
    <x v="8"/>
    <n v="14.73"/>
    <n v="3.9"/>
    <n v="8.4"/>
    <n v="1020.79"/>
    <n v="69.300067888662582"/>
  </r>
  <r>
    <x v="29"/>
    <s v="F010"/>
    <x v="9"/>
    <x v="9"/>
    <x v="9"/>
    <n v="15.61"/>
    <n v="3.6"/>
    <n v="8.9"/>
    <n v="1088.02"/>
    <n v="69.700192184497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FC7B23-F63E-4477-8707-5DF766A2B3B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G3:H14" firstHeaderRow="1" firstDataRow="1" firstDataCol="1"/>
  <pivotFields count="10">
    <pivotField compact="0" numFmtId="164"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howAll="0"/>
    <pivotField compact="0" outline="0" showAll="0"/>
    <pivotField axis="axisRow" compact="0" outline="0"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compact="0" outline="0" showAll="0">
      <items count="11">
        <item x="9"/>
        <item x="5"/>
        <item x="6"/>
        <item x="8"/>
        <item x="0"/>
        <item x="3"/>
        <item x="2"/>
        <item x="4"/>
        <item x="7"/>
        <item x="1"/>
        <item t="default"/>
      </items>
    </pivotField>
    <pivotField dataField="1" compact="0" outline="0" showAll="0"/>
    <pivotField compact="0" outline="0" showAll="0"/>
    <pivotField compact="0" outline="0" showAll="0"/>
    <pivotField compact="0" outline="0" showAll="0"/>
    <pivotField compact="0" numFmtId="2" outline="0" showAll="0"/>
  </pivotFields>
  <rowFields count="1">
    <field x="3"/>
  </rowFields>
  <rowItems count="11">
    <i>
      <x v="8"/>
    </i>
    <i>
      <x v="2"/>
    </i>
    <i>
      <x v="5"/>
    </i>
    <i>
      <x v="3"/>
    </i>
    <i>
      <x v="6"/>
    </i>
    <i>
      <x/>
    </i>
    <i>
      <x v="7"/>
    </i>
    <i>
      <x v="9"/>
    </i>
    <i>
      <x v="1"/>
    </i>
    <i>
      <x v="4"/>
    </i>
    <i t="grand">
      <x/>
    </i>
  </rowItems>
  <colItems count="1">
    <i/>
  </colItems>
  <dataFields count="1">
    <dataField name="Sum of Quantity (L)"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DC54E-5C24-49B7-8629-E65535E1A8E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D3:E14" firstHeaderRow="1" firstDataRow="1" firstDataCol="1"/>
  <pivotFields count="10">
    <pivotField compact="0" numFmtId="164"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howAll="0"/>
    <pivotField compact="0" outline="0" showAll="0"/>
    <pivotField compact="0" outline="0" showAll="0">
      <items count="11">
        <item x="0"/>
        <item x="1"/>
        <item x="2"/>
        <item x="3"/>
        <item x="4"/>
        <item x="5"/>
        <item x="6"/>
        <item x="7"/>
        <item x="8"/>
        <item x="9"/>
        <item t="default"/>
      </items>
    </pivotField>
    <pivotField axis="axisRow" compact="0" outline="0" showAll="0" sortType="descending">
      <items count="11">
        <item x="9"/>
        <item x="5"/>
        <item x="6"/>
        <item x="8"/>
        <item x="0"/>
        <item x="3"/>
        <item x="2"/>
        <item x="4"/>
        <item x="7"/>
        <item x="1"/>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numFmtId="2" outline="0" showAll="0"/>
  </pivotFields>
  <rowFields count="1">
    <field x="4"/>
  </rowFields>
  <rowItems count="11">
    <i>
      <x v="3"/>
    </i>
    <i>
      <x v="6"/>
    </i>
    <i>
      <x v="1"/>
    </i>
    <i>
      <x v="5"/>
    </i>
    <i>
      <x v="2"/>
    </i>
    <i>
      <x v="4"/>
    </i>
    <i>
      <x v="8"/>
    </i>
    <i>
      <x/>
    </i>
    <i>
      <x v="9"/>
    </i>
    <i>
      <x v="7"/>
    </i>
    <i t="grand">
      <x/>
    </i>
  </rowItems>
  <colItems count="1">
    <i/>
  </colItems>
  <dataFields count="1">
    <dataField name="Sum of Quantity (L)" fld="5" baseField="0" baseItem="0"/>
  </dataFields>
  <chartFormats count="5">
    <chartFormat chart="6"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637B8A-E0B2-4746-8AF8-DFF72CB2312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34" firstHeaderRow="1" firstDataRow="1" firstDataCol="1"/>
  <pivotFields count="10">
    <pivotField axis="axisRow" compact="0" numFmtId="164"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howAll="0"/>
    <pivotField compact="0" outline="0" showAll="0"/>
    <pivotField compact="0" outline="0" showAll="0">
      <items count="11">
        <item x="0"/>
        <item x="1"/>
        <item x="2"/>
        <item x="3"/>
        <item x="4"/>
        <item x="5"/>
        <item x="6"/>
        <item x="7"/>
        <item x="8"/>
        <item x="9"/>
        <item t="default"/>
      </items>
    </pivotField>
    <pivotField compact="0" outline="0" showAll="0">
      <items count="11">
        <item x="9"/>
        <item x="5"/>
        <item x="6"/>
        <item x="8"/>
        <item x="0"/>
        <item x="3"/>
        <item x="2"/>
        <item x="4"/>
        <item x="7"/>
        <item x="1"/>
        <item t="default"/>
      </items>
    </pivotField>
    <pivotField dataField="1" compact="0" outline="0" showAll="0"/>
    <pivotField compact="0" outline="0" showAll="0"/>
    <pivotField compact="0" outline="0" showAll="0"/>
    <pivotField compact="0" outline="0" showAll="0"/>
    <pivotField compact="0" numFmtId="2" outline="0"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L)"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E18F7D-B48A-4153-BFA1-2A9B3E1C4F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J10" firstHeaderRow="1" firstDataRow="1" firstDataCol="0"/>
  <pivotFields count="10">
    <pivotField numFmtId="164" showAll="0"/>
    <pivotField showAll="0"/>
    <pivotField showAll="0"/>
    <pivotField showAll="0"/>
    <pivotField showAll="0"/>
    <pivotField showAll="0"/>
    <pivotField showAll="0"/>
    <pivotField showAll="0"/>
    <pivotField showAll="0"/>
    <pivotField dataField="1" numFmtId="2" showAll="0"/>
  </pivotFields>
  <rowItems count="1">
    <i/>
  </rowItems>
  <colItems count="1">
    <i/>
  </colItems>
  <dataFields count="1">
    <dataField name="Average of Price Per Liter(₹)"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4EA113-4C03-4F19-93C9-71CF4B62EA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7" firstHeaderRow="0" firstDataRow="1" firstDataCol="0"/>
  <pivotFields count="1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items count="11">
        <item x="0"/>
        <item x="1"/>
        <item x="2"/>
        <item x="3"/>
        <item x="4"/>
        <item x="5"/>
        <item x="6"/>
        <item x="7"/>
        <item x="8"/>
        <item x="9"/>
        <item t="default"/>
      </items>
    </pivotField>
    <pivotField showAll="0">
      <items count="11">
        <item x="9"/>
        <item x="5"/>
        <item x="6"/>
        <item x="8"/>
        <item x="0"/>
        <item x="3"/>
        <item x="2"/>
        <item x="4"/>
        <item x="7"/>
        <item x="1"/>
        <item t="default"/>
      </items>
    </pivotField>
    <pivotField dataField="1" showAll="0"/>
    <pivotField showAll="0"/>
    <pivotField showAll="0"/>
    <pivotField dataField="1" showAll="0"/>
    <pivotField numFmtId="2" showAll="0"/>
  </pivotFields>
  <rowItems count="1">
    <i/>
  </rowItems>
  <colFields count="1">
    <field x="-2"/>
  </colFields>
  <colItems count="2">
    <i>
      <x/>
    </i>
    <i i="1">
      <x v="1"/>
    </i>
  </colItems>
  <dataFields count="2">
    <dataField name="Sum of Quantity (L)" fld="5" baseField="0" baseItem="0"/>
    <dataField name="Sum of Amount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BBDB75-3289-4FE8-AB37-BCA6E49B42B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4" firstHeaderRow="0" firstDataRow="1" firstDataCol="0"/>
  <pivotFields count="10">
    <pivotField compact="0" numFmtId="164" outline="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outline="0" showAll="0"/>
    <pivotField compact="0" outline="0" showAll="0">
      <items count="11">
        <item x="5"/>
        <item x="4"/>
        <item x="1"/>
        <item x="2"/>
        <item x="8"/>
        <item x="7"/>
        <item x="0"/>
        <item x="9"/>
        <item x="6"/>
        <item x="3"/>
        <item t="default"/>
      </items>
    </pivotField>
    <pivotField compact="0" outline="0" showAll="0">
      <items count="11">
        <item x="0"/>
        <item x="1"/>
        <item x="2"/>
        <item x="3"/>
        <item x="4"/>
        <item x="5"/>
        <item x="6"/>
        <item x="7"/>
        <item x="8"/>
        <item x="9"/>
        <item t="default"/>
      </items>
    </pivotField>
    <pivotField compact="0" outline="0" showAll="0">
      <items count="11">
        <item x="9"/>
        <item x="5"/>
        <item x="6"/>
        <item x="8"/>
        <item x="0"/>
        <item x="3"/>
        <item x="2"/>
        <item x="4"/>
        <item x="7"/>
        <item x="1"/>
        <item t="default"/>
      </items>
    </pivotField>
    <pivotField compact="0" outline="0" showAll="0"/>
    <pivotField dataField="1" compact="0" outline="0" showAll="0"/>
    <pivotField dataField="1" compact="0" outline="0" showAll="0"/>
    <pivotField compact="0" outline="0" showAll="0"/>
    <pivotField compact="0" numFmtId="2" outline="0" showAll="0"/>
  </pivotFields>
  <rowItems count="1">
    <i/>
  </rowItems>
  <colFields count="1">
    <field x="-2"/>
  </colFields>
  <colItems count="2">
    <i>
      <x/>
    </i>
    <i i="1">
      <x v="1"/>
    </i>
  </colItems>
  <dataFields count="2">
    <dataField name="Average of Fat %" fld="6" subtotal="average" baseField="2" baseItem="0"/>
    <dataField name="Average of SNF %"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llage" xr10:uid="{4C0B57C6-800C-4783-B851-F412B663F7A3}" sourceName="Village">
  <pivotTables>
    <pivotTable tabId="3" name="PivotTable1"/>
    <pivotTable tabId="3" name="PivotTable2"/>
    <pivotTable tabId="3" name="PivotTable3"/>
    <pivotTable tabId="3" name="PivotTable4"/>
    <pivotTable tabId="3" name="PivotTable5"/>
  </pivotTables>
  <data>
    <tabular pivotCacheId="200215599">
      <items count="10">
        <i x="9" s="1"/>
        <i x="5" s="1"/>
        <i x="6" s="1"/>
        <i x="8" s="1"/>
        <i x="0" s="1"/>
        <i x="3" s="1"/>
        <i x="2" s="1"/>
        <i x="4"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9212065-2345-4FDF-85AA-594966885A48}" sourceName="Date">
  <pivotTables>
    <pivotTable tabId="3" name="PivotTable1"/>
    <pivotTable tabId="3" name="PivotTable2"/>
    <pivotTable tabId="3" name="PivotTable3"/>
    <pivotTable tabId="3" name="PivotTable4"/>
    <pivotTable tabId="3" name="PivotTable5"/>
  </pivotTables>
  <data>
    <tabular pivotCacheId="200215599">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mer_full__Name" xr10:uid="{64F3D4CF-0AAA-4E42-865A-72F6C2C4D6F9}" sourceName="Farmer full  Name">
  <pivotTables>
    <pivotTable tabId="3" name="PivotTable1"/>
    <pivotTable tabId="3" name="PivotTable2"/>
    <pivotTable tabId="3" name="PivotTable3"/>
    <pivotTable tabId="3" name="PivotTable4"/>
    <pivotTable tabId="3" name="PivotTable5"/>
  </pivotTables>
  <data>
    <tabular pivotCacheId="200215599">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llage" xr10:uid="{F6CAB5AF-B1F7-4F0A-A4BA-21C4B5AD352E}" cache="Slicer_Village" caption="Village" rowHeight="234950"/>
  <slicer name="Date" xr10:uid="{11B4153B-FB3B-470E-8885-5A5ADC9964FF}" cache="Slicer_Date" caption="Date" rowHeight="234950"/>
  <slicer name="Farmer full  Name" xr10:uid="{9CFEE66F-E0AF-4CDF-A0CE-C16ED048AE0E}" cache="Slicer_Farmer_full__Name" caption="Farmer full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DDECF-A486-4EFA-B64D-454721C7CBC6}" name="Table1" displayName="Table1" ref="A1:J301" totalsRowShown="0" headerRowDxfId="2">
  <autoFilter ref="A1:J301" xr:uid="{00000000-0001-0000-0000-000000000000}"/>
  <tableColumns count="10">
    <tableColumn id="1" xr3:uid="{2E37742E-BEF2-4629-9C2E-03AA2BEA97F7}" name="Date" dataDxfId="1"/>
    <tableColumn id="2" xr3:uid="{9E03B4BF-E66D-428A-AA01-E35ED12CCF38}" name="FarmerID"/>
    <tableColumn id="3" xr3:uid="{99D2F8D8-F8CB-4346-A64B-6F58FF3FE645}" name="Farmer Name"/>
    <tableColumn id="4" xr3:uid="{BB5D9511-867A-4357-A3D1-3C94CE4FF90A}" name="Farmer full  Name">
      <calculatedColumnFormula>_xlfn.CONCAT(B2,C2)</calculatedColumnFormula>
    </tableColumn>
    <tableColumn id="5" xr3:uid="{6BD61AD4-EDE3-4C62-8610-CD774ED5855C}" name="Village"/>
    <tableColumn id="6" xr3:uid="{A135A3F9-84F4-4FFD-9A99-AB5B15D49485}" name="Quantity (L)"/>
    <tableColumn id="7" xr3:uid="{7ABB9389-2312-4C8F-BA40-13F0A4C2DADE}" name="Fat %"/>
    <tableColumn id="8" xr3:uid="{CF1F9227-5D0F-4165-B121-EFF41AF0DD52}" name="SNF %"/>
    <tableColumn id="9" xr3:uid="{093B392A-9552-43E1-90D1-7B413A70295D}" name="Amount (₹)"/>
    <tableColumn id="10" xr3:uid="{47D29A49-0AE2-4513-9A5A-1E61E2BD6065}" name="Price Per Liter(₹)" dataDxfId="0">
      <calculatedColumnFormula>I2/F2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workbookViewId="0">
      <pane ySplit="1" topLeftCell="A2" activePane="bottomLeft" state="frozen"/>
      <selection pane="bottomLeft" sqref="A1:J301"/>
    </sheetView>
  </sheetViews>
  <sheetFormatPr defaultRowHeight="14.4" x14ac:dyDescent="0.3"/>
  <cols>
    <col min="1" max="1" width="16.6640625" customWidth="1"/>
    <col min="2" max="2" width="13.88671875" customWidth="1"/>
    <col min="3" max="3" width="19.77734375" customWidth="1"/>
    <col min="4" max="4" width="21.44140625" customWidth="1"/>
    <col min="5" max="5" width="11.44140625" customWidth="1"/>
    <col min="6" max="6" width="18.33203125" customWidth="1"/>
    <col min="7" max="7" width="13.77734375" customWidth="1"/>
    <col min="8" max="8" width="13.21875" customWidth="1"/>
    <col min="9" max="9" width="15.77734375" customWidth="1"/>
    <col min="10" max="10" width="20.6640625" customWidth="1"/>
    <col min="11" max="11" width="14.88671875" customWidth="1"/>
    <col min="12" max="12" width="14.77734375" customWidth="1"/>
  </cols>
  <sheetData>
    <row r="1" spans="1:14" x14ac:dyDescent="0.3">
      <c r="A1" s="5" t="s">
        <v>0</v>
      </c>
      <c r="B1" s="5" t="s">
        <v>1</v>
      </c>
      <c r="C1" s="5" t="s">
        <v>2</v>
      </c>
      <c r="D1" s="5" t="s">
        <v>39</v>
      </c>
      <c r="E1" s="5" t="s">
        <v>3</v>
      </c>
      <c r="F1" s="5" t="s">
        <v>4</v>
      </c>
      <c r="G1" s="5" t="s">
        <v>5</v>
      </c>
      <c r="H1" s="5" t="s">
        <v>6</v>
      </c>
      <c r="I1" s="5" t="s">
        <v>7</v>
      </c>
      <c r="J1" s="6" t="s">
        <v>38</v>
      </c>
    </row>
    <row r="2" spans="1:14" x14ac:dyDescent="0.3">
      <c r="A2" s="1">
        <v>45901</v>
      </c>
      <c r="B2" t="s">
        <v>8</v>
      </c>
      <c r="C2" t="s">
        <v>18</v>
      </c>
      <c r="D2" t="str">
        <f t="shared" ref="D2:D65" si="0">_xlfn.CONCAT(B2,C2)</f>
        <v>F001Ramesh</v>
      </c>
      <c r="E2" t="s">
        <v>28</v>
      </c>
      <c r="F2">
        <v>17.920000000000002</v>
      </c>
      <c r="G2">
        <v>4.3</v>
      </c>
      <c r="H2">
        <v>9.1999999999999993</v>
      </c>
      <c r="I2">
        <v>1363.71</v>
      </c>
      <c r="J2" s="4">
        <f>I2/F2</f>
        <v>76.099888392857139</v>
      </c>
    </row>
    <row r="3" spans="1:14" x14ac:dyDescent="0.3">
      <c r="A3" s="1">
        <v>45901</v>
      </c>
      <c r="B3" t="s">
        <v>9</v>
      </c>
      <c r="C3" t="s">
        <v>19</v>
      </c>
      <c r="D3" t="str">
        <f t="shared" si="0"/>
        <v>F002Lakshmi</v>
      </c>
      <c r="E3" t="s">
        <v>29</v>
      </c>
      <c r="F3">
        <v>5.41</v>
      </c>
      <c r="G3">
        <v>3.7</v>
      </c>
      <c r="H3">
        <v>8.9</v>
      </c>
      <c r="I3">
        <v>380.86</v>
      </c>
      <c r="J3" s="4">
        <f t="shared" ref="J3:J66" si="1">I3/F3</f>
        <v>70.399260628465811</v>
      </c>
      <c r="L3" s="7"/>
    </row>
    <row r="4" spans="1:14" x14ac:dyDescent="0.3">
      <c r="A4" s="1">
        <v>45901</v>
      </c>
      <c r="B4" t="s">
        <v>10</v>
      </c>
      <c r="C4" t="s">
        <v>20</v>
      </c>
      <c r="D4" t="str">
        <f t="shared" si="0"/>
        <v>F003Manjunath</v>
      </c>
      <c r="E4" t="s">
        <v>30</v>
      </c>
      <c r="F4">
        <v>12.67</v>
      </c>
      <c r="G4">
        <v>4.2</v>
      </c>
      <c r="H4">
        <v>8.6</v>
      </c>
      <c r="I4">
        <v>917.31</v>
      </c>
      <c r="J4" s="4">
        <f t="shared" si="1"/>
        <v>72.400157853196518</v>
      </c>
    </row>
    <row r="5" spans="1:14" x14ac:dyDescent="0.3">
      <c r="A5" s="1">
        <v>45901</v>
      </c>
      <c r="B5" t="s">
        <v>11</v>
      </c>
      <c r="C5" t="s">
        <v>21</v>
      </c>
      <c r="D5" t="str">
        <f t="shared" si="0"/>
        <v>F004Suresh</v>
      </c>
      <c r="E5" t="s">
        <v>31</v>
      </c>
      <c r="F5">
        <v>7.53</v>
      </c>
      <c r="G5">
        <v>4.0999999999999996</v>
      </c>
      <c r="H5">
        <v>9.5</v>
      </c>
      <c r="I5">
        <v>573.79</v>
      </c>
      <c r="J5" s="4">
        <f t="shared" si="1"/>
        <v>76.200531208499328</v>
      </c>
      <c r="K5" s="2"/>
      <c r="L5" s="3"/>
    </row>
    <row r="6" spans="1:14" x14ac:dyDescent="0.3">
      <c r="A6" s="1">
        <v>45901</v>
      </c>
      <c r="B6" t="s">
        <v>12</v>
      </c>
      <c r="C6" t="s">
        <v>22</v>
      </c>
      <c r="D6" t="str">
        <f t="shared" si="0"/>
        <v>F005Geetha</v>
      </c>
      <c r="E6" t="s">
        <v>32</v>
      </c>
      <c r="F6">
        <v>5.79</v>
      </c>
      <c r="G6">
        <v>3.6</v>
      </c>
      <c r="H6">
        <v>9.1999999999999993</v>
      </c>
      <c r="I6">
        <v>412.25</v>
      </c>
      <c r="J6" s="4">
        <f t="shared" si="1"/>
        <v>71.200345423143347</v>
      </c>
    </row>
    <row r="7" spans="1:14" x14ac:dyDescent="0.3">
      <c r="A7" s="1">
        <v>45901</v>
      </c>
      <c r="B7" t="s">
        <v>13</v>
      </c>
      <c r="C7" t="s">
        <v>23</v>
      </c>
      <c r="D7" t="str">
        <f t="shared" si="0"/>
        <v>F006Anand</v>
      </c>
      <c r="E7" t="s">
        <v>33</v>
      </c>
      <c r="F7">
        <v>11.58</v>
      </c>
      <c r="G7">
        <v>4.8</v>
      </c>
      <c r="H7">
        <v>8.6999999999999993</v>
      </c>
      <c r="I7">
        <v>892.82</v>
      </c>
      <c r="J7" s="4">
        <f t="shared" si="1"/>
        <v>77.100172711571673</v>
      </c>
      <c r="L7" s="2"/>
      <c r="M7" s="3"/>
    </row>
    <row r="8" spans="1:14" x14ac:dyDescent="0.3">
      <c r="A8" s="1">
        <v>45901</v>
      </c>
      <c r="B8" t="s">
        <v>14</v>
      </c>
      <c r="C8" t="s">
        <v>24</v>
      </c>
      <c r="D8" t="str">
        <f t="shared" si="0"/>
        <v>F007Savitha</v>
      </c>
      <c r="E8" t="s">
        <v>34</v>
      </c>
      <c r="F8">
        <v>6.12</v>
      </c>
      <c r="G8">
        <v>4.3</v>
      </c>
      <c r="H8">
        <v>8.3000000000000007</v>
      </c>
      <c r="I8">
        <v>438.19</v>
      </c>
      <c r="J8" s="4">
        <f t="shared" si="1"/>
        <v>71.599673202614383</v>
      </c>
    </row>
    <row r="9" spans="1:14" x14ac:dyDescent="0.3">
      <c r="A9" s="1">
        <v>45901</v>
      </c>
      <c r="B9" t="s">
        <v>15</v>
      </c>
      <c r="C9" t="s">
        <v>25</v>
      </c>
      <c r="D9" t="str">
        <f t="shared" si="0"/>
        <v>F008Prakash</v>
      </c>
      <c r="E9" t="s">
        <v>35</v>
      </c>
      <c r="F9">
        <v>17.14</v>
      </c>
      <c r="G9">
        <v>4.9000000000000004</v>
      </c>
      <c r="H9">
        <v>8.1</v>
      </c>
      <c r="I9">
        <v>1282.07</v>
      </c>
      <c r="J9" s="4">
        <f t="shared" si="1"/>
        <v>74.799883313885644</v>
      </c>
    </row>
    <row r="10" spans="1:14" x14ac:dyDescent="0.3">
      <c r="A10" s="1">
        <v>45901</v>
      </c>
      <c r="B10" t="s">
        <v>16</v>
      </c>
      <c r="C10" t="s">
        <v>26</v>
      </c>
      <c r="D10" t="str">
        <f t="shared" si="0"/>
        <v>F009Meena</v>
      </c>
      <c r="E10" t="s">
        <v>36</v>
      </c>
      <c r="F10">
        <v>7.07</v>
      </c>
      <c r="G10">
        <v>4.3</v>
      </c>
      <c r="H10">
        <v>8.8000000000000007</v>
      </c>
      <c r="I10">
        <v>523.89</v>
      </c>
      <c r="J10" s="4">
        <f t="shared" si="1"/>
        <v>74.100424328147099</v>
      </c>
    </row>
    <row r="11" spans="1:14" x14ac:dyDescent="0.3">
      <c r="A11" s="1">
        <v>45901</v>
      </c>
      <c r="B11" t="s">
        <v>17</v>
      </c>
      <c r="C11" t="s">
        <v>27</v>
      </c>
      <c r="D11" t="str">
        <f t="shared" si="0"/>
        <v>F010Ravi</v>
      </c>
      <c r="E11" t="s">
        <v>37</v>
      </c>
      <c r="F11">
        <v>8.1999999999999993</v>
      </c>
      <c r="G11">
        <v>4.5</v>
      </c>
      <c r="H11">
        <v>9.3000000000000007</v>
      </c>
      <c r="I11">
        <v>639.6</v>
      </c>
      <c r="J11" s="4">
        <f t="shared" si="1"/>
        <v>78.000000000000014</v>
      </c>
      <c r="N11" s="2"/>
    </row>
    <row r="12" spans="1:14" x14ac:dyDescent="0.3">
      <c r="A12" s="1">
        <v>45902</v>
      </c>
      <c r="B12" t="s">
        <v>8</v>
      </c>
      <c r="C12" t="s">
        <v>18</v>
      </c>
      <c r="D12" t="str">
        <f t="shared" si="0"/>
        <v>F001Ramesh</v>
      </c>
      <c r="E12" t="s">
        <v>28</v>
      </c>
      <c r="F12">
        <v>12.06</v>
      </c>
      <c r="G12">
        <v>4.3</v>
      </c>
      <c r="H12">
        <v>8.8000000000000007</v>
      </c>
      <c r="I12">
        <v>893.65</v>
      </c>
      <c r="J12" s="4">
        <f t="shared" si="1"/>
        <v>74.100331674958539</v>
      </c>
    </row>
    <row r="13" spans="1:14" x14ac:dyDescent="0.3">
      <c r="A13" s="1">
        <v>45902</v>
      </c>
      <c r="B13" t="s">
        <v>9</v>
      </c>
      <c r="C13" t="s">
        <v>19</v>
      </c>
      <c r="D13" t="str">
        <f t="shared" si="0"/>
        <v>F002Lakshmi</v>
      </c>
      <c r="E13" t="s">
        <v>29</v>
      </c>
      <c r="F13">
        <v>7.98</v>
      </c>
      <c r="G13">
        <v>3.7</v>
      </c>
      <c r="H13">
        <v>8.6999999999999993</v>
      </c>
      <c r="I13">
        <v>553.80999999999995</v>
      </c>
      <c r="J13" s="4">
        <f t="shared" si="1"/>
        <v>69.399749373433579</v>
      </c>
    </row>
    <row r="14" spans="1:14" x14ac:dyDescent="0.3">
      <c r="A14" s="1">
        <v>45902</v>
      </c>
      <c r="B14" t="s">
        <v>10</v>
      </c>
      <c r="C14" t="s">
        <v>20</v>
      </c>
      <c r="D14" t="str">
        <f t="shared" si="0"/>
        <v>F003Manjunath</v>
      </c>
      <c r="E14" t="s">
        <v>30</v>
      </c>
      <c r="F14">
        <v>8.19</v>
      </c>
      <c r="G14">
        <v>4.5999999999999996</v>
      </c>
      <c r="H14">
        <v>8</v>
      </c>
      <c r="I14">
        <v>591.32000000000005</v>
      </c>
      <c r="J14" s="4">
        <f t="shared" si="1"/>
        <v>72.200244200244214</v>
      </c>
    </row>
    <row r="15" spans="1:14" x14ac:dyDescent="0.3">
      <c r="A15" s="1">
        <v>45902</v>
      </c>
      <c r="B15" t="s">
        <v>11</v>
      </c>
      <c r="C15" t="s">
        <v>21</v>
      </c>
      <c r="D15" t="str">
        <f t="shared" si="0"/>
        <v>F004Suresh</v>
      </c>
      <c r="E15" t="s">
        <v>31</v>
      </c>
      <c r="F15">
        <v>17.829999999999998</v>
      </c>
      <c r="G15">
        <v>4.4000000000000004</v>
      </c>
      <c r="H15">
        <v>9.4</v>
      </c>
      <c r="I15">
        <v>1387.17</v>
      </c>
      <c r="J15" s="4">
        <f t="shared" si="1"/>
        <v>77.799775659001696</v>
      </c>
    </row>
    <row r="16" spans="1:14" x14ac:dyDescent="0.3">
      <c r="A16" s="1">
        <v>45902</v>
      </c>
      <c r="B16" t="s">
        <v>12</v>
      </c>
      <c r="C16" t="s">
        <v>22</v>
      </c>
      <c r="D16" t="str">
        <f t="shared" si="0"/>
        <v>F005Geetha</v>
      </c>
      <c r="E16" t="s">
        <v>32</v>
      </c>
      <c r="F16">
        <v>12.9</v>
      </c>
      <c r="G16">
        <v>4.5</v>
      </c>
      <c r="H16">
        <v>8.4</v>
      </c>
      <c r="I16">
        <v>948.15</v>
      </c>
      <c r="J16" s="4">
        <f t="shared" si="1"/>
        <v>73.5</v>
      </c>
    </row>
    <row r="17" spans="1:10" x14ac:dyDescent="0.3">
      <c r="A17" s="1">
        <v>45902</v>
      </c>
      <c r="B17" t="s">
        <v>13</v>
      </c>
      <c r="C17" t="s">
        <v>23</v>
      </c>
      <c r="D17" t="str">
        <f t="shared" si="0"/>
        <v>F006Anand</v>
      </c>
      <c r="E17" t="s">
        <v>33</v>
      </c>
      <c r="F17">
        <v>11.57</v>
      </c>
      <c r="G17">
        <v>3.9</v>
      </c>
      <c r="H17">
        <v>9.1</v>
      </c>
      <c r="I17">
        <v>842.3</v>
      </c>
      <c r="J17" s="4">
        <f t="shared" si="1"/>
        <v>72.800345721694029</v>
      </c>
    </row>
    <row r="18" spans="1:10" x14ac:dyDescent="0.3">
      <c r="A18" s="1">
        <v>45902</v>
      </c>
      <c r="B18" t="s">
        <v>14</v>
      </c>
      <c r="C18" t="s">
        <v>24</v>
      </c>
      <c r="D18" t="str">
        <f t="shared" si="0"/>
        <v>F007Savitha</v>
      </c>
      <c r="E18" t="s">
        <v>34</v>
      </c>
      <c r="F18">
        <v>17.88</v>
      </c>
      <c r="G18">
        <v>4.0999999999999996</v>
      </c>
      <c r="H18">
        <v>8</v>
      </c>
      <c r="I18">
        <v>1228.3599999999999</v>
      </c>
      <c r="J18" s="4">
        <f t="shared" si="1"/>
        <v>68.700223713646537</v>
      </c>
    </row>
    <row r="19" spans="1:10" x14ac:dyDescent="0.3">
      <c r="A19" s="1">
        <v>45902</v>
      </c>
      <c r="B19" t="s">
        <v>15</v>
      </c>
      <c r="C19" t="s">
        <v>25</v>
      </c>
      <c r="D19" t="str">
        <f t="shared" si="0"/>
        <v>F008Prakash</v>
      </c>
      <c r="E19" t="s">
        <v>35</v>
      </c>
      <c r="F19">
        <v>5.17</v>
      </c>
      <c r="G19">
        <v>4.5999999999999996</v>
      </c>
      <c r="H19">
        <v>9</v>
      </c>
      <c r="I19">
        <v>399.12</v>
      </c>
      <c r="J19" s="4">
        <f t="shared" si="1"/>
        <v>77.199226305609287</v>
      </c>
    </row>
    <row r="20" spans="1:10" x14ac:dyDescent="0.3">
      <c r="A20" s="1">
        <v>45902</v>
      </c>
      <c r="B20" t="s">
        <v>16</v>
      </c>
      <c r="C20" t="s">
        <v>26</v>
      </c>
      <c r="D20" t="str">
        <f t="shared" si="0"/>
        <v>F009Meena</v>
      </c>
      <c r="E20" t="s">
        <v>36</v>
      </c>
      <c r="F20">
        <v>16.03</v>
      </c>
      <c r="G20">
        <v>4.0999999999999996</v>
      </c>
      <c r="H20">
        <v>8.6</v>
      </c>
      <c r="I20">
        <v>1149.3499999999999</v>
      </c>
      <c r="J20" s="4">
        <f t="shared" si="1"/>
        <v>71.699937616968171</v>
      </c>
    </row>
    <row r="21" spans="1:10" x14ac:dyDescent="0.3">
      <c r="A21" s="1">
        <v>45902</v>
      </c>
      <c r="B21" t="s">
        <v>17</v>
      </c>
      <c r="C21" t="s">
        <v>27</v>
      </c>
      <c r="D21" t="str">
        <f t="shared" si="0"/>
        <v>F010Ravi</v>
      </c>
      <c r="E21" t="s">
        <v>37</v>
      </c>
      <c r="F21">
        <v>10.210000000000001</v>
      </c>
      <c r="G21">
        <v>4.5999999999999996</v>
      </c>
      <c r="H21">
        <v>9.5</v>
      </c>
      <c r="I21">
        <v>813.74</v>
      </c>
      <c r="J21" s="4">
        <f t="shared" si="1"/>
        <v>79.70029382957884</v>
      </c>
    </row>
    <row r="22" spans="1:10" x14ac:dyDescent="0.3">
      <c r="A22" s="1">
        <v>45903</v>
      </c>
      <c r="B22" t="s">
        <v>8</v>
      </c>
      <c r="C22" t="s">
        <v>18</v>
      </c>
      <c r="D22" t="str">
        <f t="shared" si="0"/>
        <v>F001Ramesh</v>
      </c>
      <c r="E22" t="s">
        <v>28</v>
      </c>
      <c r="F22">
        <v>10.09</v>
      </c>
      <c r="G22">
        <v>3.6</v>
      </c>
      <c r="H22">
        <v>9.1999999999999993</v>
      </c>
      <c r="I22">
        <v>718.41</v>
      </c>
      <c r="J22" s="4">
        <f t="shared" si="1"/>
        <v>71.200198216055497</v>
      </c>
    </row>
    <row r="23" spans="1:10" x14ac:dyDescent="0.3">
      <c r="A23" s="1">
        <v>45903</v>
      </c>
      <c r="B23" t="s">
        <v>9</v>
      </c>
      <c r="C23" t="s">
        <v>19</v>
      </c>
      <c r="D23" t="str">
        <f t="shared" si="0"/>
        <v>F002Lakshmi</v>
      </c>
      <c r="E23" t="s">
        <v>29</v>
      </c>
      <c r="F23">
        <v>6.38</v>
      </c>
      <c r="G23">
        <v>3.9</v>
      </c>
      <c r="H23">
        <v>8.1999999999999993</v>
      </c>
      <c r="I23">
        <v>435.75</v>
      </c>
      <c r="J23" s="4">
        <f t="shared" si="1"/>
        <v>68.299373040752357</v>
      </c>
    </row>
    <row r="24" spans="1:10" x14ac:dyDescent="0.3">
      <c r="A24" s="1">
        <v>45903</v>
      </c>
      <c r="B24" t="s">
        <v>10</v>
      </c>
      <c r="C24" t="s">
        <v>20</v>
      </c>
      <c r="D24" t="str">
        <f t="shared" si="0"/>
        <v>F003Manjunath</v>
      </c>
      <c r="E24" t="s">
        <v>30</v>
      </c>
      <c r="F24">
        <v>17.260000000000002</v>
      </c>
      <c r="G24">
        <v>4.5999999999999996</v>
      </c>
      <c r="H24">
        <v>9.1999999999999993</v>
      </c>
      <c r="I24">
        <v>1349.73</v>
      </c>
      <c r="J24" s="4">
        <f t="shared" si="1"/>
        <v>78.199884125144834</v>
      </c>
    </row>
    <row r="25" spans="1:10" x14ac:dyDescent="0.3">
      <c r="A25" s="1">
        <v>45903</v>
      </c>
      <c r="B25" t="s">
        <v>11</v>
      </c>
      <c r="C25" t="s">
        <v>21</v>
      </c>
      <c r="D25" t="str">
        <f t="shared" si="0"/>
        <v>F004Suresh</v>
      </c>
      <c r="E25" t="s">
        <v>31</v>
      </c>
      <c r="F25">
        <v>19.88</v>
      </c>
      <c r="G25">
        <v>4.5999999999999996</v>
      </c>
      <c r="H25">
        <v>9.3000000000000007</v>
      </c>
      <c r="I25">
        <v>1564.56</v>
      </c>
      <c r="J25" s="4">
        <f t="shared" si="1"/>
        <v>78.700201207243467</v>
      </c>
    </row>
    <row r="26" spans="1:10" x14ac:dyDescent="0.3">
      <c r="A26" s="1">
        <v>45903</v>
      </c>
      <c r="B26" t="s">
        <v>12</v>
      </c>
      <c r="C26" t="s">
        <v>22</v>
      </c>
      <c r="D26" t="str">
        <f t="shared" si="0"/>
        <v>F005Geetha</v>
      </c>
      <c r="E26" t="s">
        <v>32</v>
      </c>
      <c r="F26">
        <v>7.5</v>
      </c>
      <c r="G26">
        <v>4.5999999999999996</v>
      </c>
      <c r="H26">
        <v>8.6999999999999993</v>
      </c>
      <c r="I26">
        <v>567.75</v>
      </c>
      <c r="J26" s="4">
        <f t="shared" si="1"/>
        <v>75.7</v>
      </c>
    </row>
    <row r="27" spans="1:10" x14ac:dyDescent="0.3">
      <c r="A27" s="1">
        <v>45903</v>
      </c>
      <c r="B27" t="s">
        <v>13</v>
      </c>
      <c r="C27" t="s">
        <v>23</v>
      </c>
      <c r="D27" t="str">
        <f t="shared" si="0"/>
        <v>F006Anand</v>
      </c>
      <c r="E27" t="s">
        <v>33</v>
      </c>
      <c r="F27">
        <v>18.3</v>
      </c>
      <c r="G27">
        <v>4.7</v>
      </c>
      <c r="H27">
        <v>9.3000000000000007</v>
      </c>
      <c r="I27">
        <v>1453.02</v>
      </c>
      <c r="J27" s="4">
        <f t="shared" si="1"/>
        <v>79.399999999999991</v>
      </c>
    </row>
    <row r="28" spans="1:10" x14ac:dyDescent="0.3">
      <c r="A28" s="1">
        <v>45903</v>
      </c>
      <c r="B28" t="s">
        <v>14</v>
      </c>
      <c r="C28" t="s">
        <v>24</v>
      </c>
      <c r="D28" t="str">
        <f t="shared" si="0"/>
        <v>F007Savitha</v>
      </c>
      <c r="E28" t="s">
        <v>34</v>
      </c>
      <c r="F28">
        <v>15.35</v>
      </c>
      <c r="G28">
        <v>4.3</v>
      </c>
      <c r="H28">
        <v>9.3000000000000007</v>
      </c>
      <c r="I28">
        <v>1175.81</v>
      </c>
      <c r="J28" s="4">
        <f t="shared" si="1"/>
        <v>76.599999999999994</v>
      </c>
    </row>
    <row r="29" spans="1:10" x14ac:dyDescent="0.3">
      <c r="A29" s="1">
        <v>45903</v>
      </c>
      <c r="B29" t="s">
        <v>15</v>
      </c>
      <c r="C29" t="s">
        <v>25</v>
      </c>
      <c r="D29" t="str">
        <f t="shared" si="0"/>
        <v>F008Prakash</v>
      </c>
      <c r="E29" t="s">
        <v>35</v>
      </c>
      <c r="F29">
        <v>5.68</v>
      </c>
      <c r="G29">
        <v>3.6</v>
      </c>
      <c r="H29">
        <v>8.6</v>
      </c>
      <c r="I29">
        <v>387.38</v>
      </c>
      <c r="J29" s="4">
        <f t="shared" si="1"/>
        <v>68.200704225352112</v>
      </c>
    </row>
    <row r="30" spans="1:10" x14ac:dyDescent="0.3">
      <c r="A30" s="1">
        <v>45903</v>
      </c>
      <c r="B30" t="s">
        <v>16</v>
      </c>
      <c r="C30" t="s">
        <v>26</v>
      </c>
      <c r="D30" t="str">
        <f t="shared" si="0"/>
        <v>F009Meena</v>
      </c>
      <c r="E30" t="s">
        <v>36</v>
      </c>
      <c r="F30">
        <v>17.37</v>
      </c>
      <c r="G30">
        <v>4.3</v>
      </c>
      <c r="H30">
        <v>8.8000000000000007</v>
      </c>
      <c r="I30">
        <v>1287.1199999999999</v>
      </c>
      <c r="J30" s="4">
        <f t="shared" si="1"/>
        <v>74.100172711571659</v>
      </c>
    </row>
    <row r="31" spans="1:10" x14ac:dyDescent="0.3">
      <c r="A31" s="1">
        <v>45903</v>
      </c>
      <c r="B31" t="s">
        <v>17</v>
      </c>
      <c r="C31" t="s">
        <v>27</v>
      </c>
      <c r="D31" t="str">
        <f t="shared" si="0"/>
        <v>F010Ravi</v>
      </c>
      <c r="E31" t="s">
        <v>37</v>
      </c>
      <c r="F31">
        <v>8.16</v>
      </c>
      <c r="G31">
        <v>3.6</v>
      </c>
      <c r="H31">
        <v>8.4</v>
      </c>
      <c r="I31">
        <v>548.35</v>
      </c>
      <c r="J31" s="4">
        <f t="shared" si="1"/>
        <v>67.199754901960787</v>
      </c>
    </row>
    <row r="32" spans="1:10" x14ac:dyDescent="0.3">
      <c r="A32" s="1">
        <v>45904</v>
      </c>
      <c r="B32" t="s">
        <v>8</v>
      </c>
      <c r="C32" t="s">
        <v>18</v>
      </c>
      <c r="D32" t="str">
        <f t="shared" si="0"/>
        <v>F001Ramesh</v>
      </c>
      <c r="E32" t="s">
        <v>28</v>
      </c>
      <c r="F32">
        <v>6.4</v>
      </c>
      <c r="G32">
        <v>4</v>
      </c>
      <c r="H32">
        <v>8.5</v>
      </c>
      <c r="I32">
        <v>451.2</v>
      </c>
      <c r="J32" s="4">
        <f t="shared" si="1"/>
        <v>70.5</v>
      </c>
    </row>
    <row r="33" spans="1:10" x14ac:dyDescent="0.3">
      <c r="A33" s="1">
        <v>45904</v>
      </c>
      <c r="B33" t="s">
        <v>9</v>
      </c>
      <c r="C33" t="s">
        <v>19</v>
      </c>
      <c r="D33" t="str">
        <f t="shared" si="0"/>
        <v>F002Lakshmi</v>
      </c>
      <c r="E33" t="s">
        <v>29</v>
      </c>
      <c r="F33">
        <v>9.26</v>
      </c>
      <c r="G33">
        <v>3.5</v>
      </c>
      <c r="H33">
        <v>8.8000000000000007</v>
      </c>
      <c r="I33">
        <v>634.30999999999995</v>
      </c>
      <c r="J33" s="4">
        <f t="shared" si="1"/>
        <v>68.5</v>
      </c>
    </row>
    <row r="34" spans="1:10" x14ac:dyDescent="0.3">
      <c r="A34" s="1">
        <v>45904</v>
      </c>
      <c r="B34" t="s">
        <v>10</v>
      </c>
      <c r="C34" t="s">
        <v>20</v>
      </c>
      <c r="D34" t="str">
        <f t="shared" si="0"/>
        <v>F003Manjunath</v>
      </c>
      <c r="E34" t="s">
        <v>30</v>
      </c>
      <c r="F34">
        <v>12.69</v>
      </c>
      <c r="G34">
        <v>3.9</v>
      </c>
      <c r="H34">
        <v>9.1</v>
      </c>
      <c r="I34">
        <v>923.83</v>
      </c>
      <c r="J34" s="4">
        <f t="shared" si="1"/>
        <v>72.799842395587078</v>
      </c>
    </row>
    <row r="35" spans="1:10" x14ac:dyDescent="0.3">
      <c r="A35" s="1">
        <v>45904</v>
      </c>
      <c r="B35" t="s">
        <v>11</v>
      </c>
      <c r="C35" t="s">
        <v>21</v>
      </c>
      <c r="D35" t="str">
        <f t="shared" si="0"/>
        <v>F004Suresh</v>
      </c>
      <c r="E35" t="s">
        <v>31</v>
      </c>
      <c r="F35">
        <v>19.23</v>
      </c>
      <c r="G35">
        <v>4.5999999999999996</v>
      </c>
      <c r="H35">
        <v>9.4</v>
      </c>
      <c r="I35">
        <v>1523.02</v>
      </c>
      <c r="J35" s="4">
        <f t="shared" si="1"/>
        <v>79.200208008320331</v>
      </c>
    </row>
    <row r="36" spans="1:10" x14ac:dyDescent="0.3">
      <c r="A36" s="1">
        <v>45904</v>
      </c>
      <c r="B36" t="s">
        <v>12</v>
      </c>
      <c r="C36" t="s">
        <v>22</v>
      </c>
      <c r="D36" t="str">
        <f t="shared" si="0"/>
        <v>F005Geetha</v>
      </c>
      <c r="E36" t="s">
        <v>32</v>
      </c>
      <c r="F36">
        <v>7.4</v>
      </c>
      <c r="G36">
        <v>4.5999999999999996</v>
      </c>
      <c r="H36">
        <v>8.3000000000000007</v>
      </c>
      <c r="I36">
        <v>545.38</v>
      </c>
      <c r="J36" s="4">
        <f t="shared" si="1"/>
        <v>73.7</v>
      </c>
    </row>
    <row r="37" spans="1:10" x14ac:dyDescent="0.3">
      <c r="A37" s="1">
        <v>45904</v>
      </c>
      <c r="B37" t="s">
        <v>13</v>
      </c>
      <c r="C37" t="s">
        <v>23</v>
      </c>
      <c r="D37" t="str">
        <f t="shared" si="0"/>
        <v>F006Anand</v>
      </c>
      <c r="E37" t="s">
        <v>33</v>
      </c>
      <c r="F37">
        <v>11.85</v>
      </c>
      <c r="G37">
        <v>4.9000000000000004</v>
      </c>
      <c r="H37">
        <v>8.4</v>
      </c>
      <c r="I37">
        <v>904.16</v>
      </c>
      <c r="J37" s="4">
        <f t="shared" si="1"/>
        <v>76.300421940928274</v>
      </c>
    </row>
    <row r="38" spans="1:10" x14ac:dyDescent="0.3">
      <c r="A38" s="1">
        <v>45904</v>
      </c>
      <c r="B38" t="s">
        <v>14</v>
      </c>
      <c r="C38" t="s">
        <v>24</v>
      </c>
      <c r="D38" t="str">
        <f t="shared" si="0"/>
        <v>F007Savitha</v>
      </c>
      <c r="E38" t="s">
        <v>34</v>
      </c>
      <c r="F38">
        <v>13.7</v>
      </c>
      <c r="G38">
        <v>4.5999999999999996</v>
      </c>
      <c r="H38">
        <v>8.4</v>
      </c>
      <c r="I38">
        <v>1016.54</v>
      </c>
      <c r="J38" s="4">
        <f t="shared" si="1"/>
        <v>74.2</v>
      </c>
    </row>
    <row r="39" spans="1:10" x14ac:dyDescent="0.3">
      <c r="A39" s="1">
        <v>45904</v>
      </c>
      <c r="B39" t="s">
        <v>15</v>
      </c>
      <c r="C39" t="s">
        <v>25</v>
      </c>
      <c r="D39" t="str">
        <f t="shared" si="0"/>
        <v>F008Prakash</v>
      </c>
      <c r="E39" t="s">
        <v>35</v>
      </c>
      <c r="F39">
        <v>10.9</v>
      </c>
      <c r="G39">
        <v>4.2</v>
      </c>
      <c r="H39">
        <v>9</v>
      </c>
      <c r="I39">
        <v>810.96</v>
      </c>
      <c r="J39" s="4">
        <f t="shared" si="1"/>
        <v>74.400000000000006</v>
      </c>
    </row>
    <row r="40" spans="1:10" x14ac:dyDescent="0.3">
      <c r="A40" s="1">
        <v>45904</v>
      </c>
      <c r="B40" t="s">
        <v>16</v>
      </c>
      <c r="C40" t="s">
        <v>26</v>
      </c>
      <c r="D40" t="str">
        <f t="shared" si="0"/>
        <v>F009Meena</v>
      </c>
      <c r="E40" t="s">
        <v>36</v>
      </c>
      <c r="F40">
        <v>7.09</v>
      </c>
      <c r="G40">
        <v>4.2</v>
      </c>
      <c r="H40">
        <v>8.4</v>
      </c>
      <c r="I40">
        <v>506.23</v>
      </c>
      <c r="J40" s="4">
        <f t="shared" si="1"/>
        <v>71.400564174894228</v>
      </c>
    </row>
    <row r="41" spans="1:10" x14ac:dyDescent="0.3">
      <c r="A41" s="1">
        <v>45904</v>
      </c>
      <c r="B41" t="s">
        <v>17</v>
      </c>
      <c r="C41" t="s">
        <v>27</v>
      </c>
      <c r="D41" t="str">
        <f t="shared" si="0"/>
        <v>F010Ravi</v>
      </c>
      <c r="E41" t="s">
        <v>37</v>
      </c>
      <c r="F41">
        <v>8.1999999999999993</v>
      </c>
      <c r="G41">
        <v>4.0999999999999996</v>
      </c>
      <c r="H41">
        <v>8.4</v>
      </c>
      <c r="I41">
        <v>579.74</v>
      </c>
      <c r="J41" s="4">
        <f t="shared" si="1"/>
        <v>70.7</v>
      </c>
    </row>
    <row r="42" spans="1:10" x14ac:dyDescent="0.3">
      <c r="A42" s="1">
        <v>45905</v>
      </c>
      <c r="B42" t="s">
        <v>8</v>
      </c>
      <c r="C42" t="s">
        <v>18</v>
      </c>
      <c r="D42" t="str">
        <f t="shared" si="0"/>
        <v>F001Ramesh</v>
      </c>
      <c r="E42" t="s">
        <v>28</v>
      </c>
      <c r="F42">
        <v>8.06</v>
      </c>
      <c r="G42">
        <v>4</v>
      </c>
      <c r="H42">
        <v>9.1999999999999993</v>
      </c>
      <c r="I42">
        <v>596.44000000000005</v>
      </c>
      <c r="J42" s="4">
        <f t="shared" si="1"/>
        <v>74</v>
      </c>
    </row>
    <row r="43" spans="1:10" x14ac:dyDescent="0.3">
      <c r="A43" s="1">
        <v>45905</v>
      </c>
      <c r="B43" t="s">
        <v>9</v>
      </c>
      <c r="C43" t="s">
        <v>19</v>
      </c>
      <c r="D43" t="str">
        <f t="shared" si="0"/>
        <v>F002Lakshmi</v>
      </c>
      <c r="E43" t="s">
        <v>29</v>
      </c>
      <c r="F43">
        <v>6.6</v>
      </c>
      <c r="G43">
        <v>4.8</v>
      </c>
      <c r="H43">
        <v>8</v>
      </c>
      <c r="I43">
        <v>485.76</v>
      </c>
      <c r="J43" s="4">
        <f t="shared" si="1"/>
        <v>73.600000000000009</v>
      </c>
    </row>
    <row r="44" spans="1:10" x14ac:dyDescent="0.3">
      <c r="A44" s="1">
        <v>45905</v>
      </c>
      <c r="B44" t="s">
        <v>10</v>
      </c>
      <c r="C44" t="s">
        <v>20</v>
      </c>
      <c r="D44" t="str">
        <f t="shared" si="0"/>
        <v>F003Manjunath</v>
      </c>
      <c r="E44" t="s">
        <v>30</v>
      </c>
      <c r="F44">
        <v>16.41</v>
      </c>
      <c r="G44">
        <v>4.2</v>
      </c>
      <c r="H44">
        <v>9.4</v>
      </c>
      <c r="I44">
        <v>1253.72</v>
      </c>
      <c r="J44" s="4">
        <f t="shared" si="1"/>
        <v>76.399756246191345</v>
      </c>
    </row>
    <row r="45" spans="1:10" x14ac:dyDescent="0.3">
      <c r="A45" s="1">
        <v>45905</v>
      </c>
      <c r="B45" t="s">
        <v>11</v>
      </c>
      <c r="C45" t="s">
        <v>21</v>
      </c>
      <c r="D45" t="str">
        <f t="shared" si="0"/>
        <v>F004Suresh</v>
      </c>
      <c r="E45" t="s">
        <v>31</v>
      </c>
      <c r="F45">
        <v>15.7</v>
      </c>
      <c r="G45">
        <v>4.8</v>
      </c>
      <c r="H45">
        <v>8.1999999999999993</v>
      </c>
      <c r="I45">
        <v>1171.22</v>
      </c>
      <c r="J45" s="4">
        <f t="shared" si="1"/>
        <v>74.600000000000009</v>
      </c>
    </row>
    <row r="46" spans="1:10" x14ac:dyDescent="0.3">
      <c r="A46" s="1">
        <v>45905</v>
      </c>
      <c r="B46" t="s">
        <v>12</v>
      </c>
      <c r="C46" t="s">
        <v>22</v>
      </c>
      <c r="D46" t="str">
        <f t="shared" si="0"/>
        <v>F005Geetha</v>
      </c>
      <c r="E46" t="s">
        <v>32</v>
      </c>
      <c r="F46">
        <v>9.33</v>
      </c>
      <c r="G46">
        <v>4.5</v>
      </c>
      <c r="H46">
        <v>9.1</v>
      </c>
      <c r="I46">
        <v>718.41</v>
      </c>
      <c r="J46" s="4">
        <f t="shared" si="1"/>
        <v>77</v>
      </c>
    </row>
    <row r="47" spans="1:10" x14ac:dyDescent="0.3">
      <c r="A47" s="1">
        <v>45905</v>
      </c>
      <c r="B47" t="s">
        <v>13</v>
      </c>
      <c r="C47" t="s">
        <v>23</v>
      </c>
      <c r="D47" t="str">
        <f t="shared" si="0"/>
        <v>F006Anand</v>
      </c>
      <c r="E47" t="s">
        <v>33</v>
      </c>
      <c r="F47">
        <v>17.71</v>
      </c>
      <c r="G47">
        <v>3.8</v>
      </c>
      <c r="H47">
        <v>9.3000000000000007</v>
      </c>
      <c r="I47">
        <v>1294.5999999999999</v>
      </c>
      <c r="J47" s="4">
        <f t="shared" si="1"/>
        <v>73.099943534726137</v>
      </c>
    </row>
    <row r="48" spans="1:10" x14ac:dyDescent="0.3">
      <c r="A48" s="1">
        <v>45905</v>
      </c>
      <c r="B48" t="s">
        <v>14</v>
      </c>
      <c r="C48" t="s">
        <v>24</v>
      </c>
      <c r="D48" t="str">
        <f t="shared" si="0"/>
        <v>F007Savitha</v>
      </c>
      <c r="E48" t="s">
        <v>34</v>
      </c>
      <c r="F48">
        <v>12.26</v>
      </c>
      <c r="G48">
        <v>3.8</v>
      </c>
      <c r="H48">
        <v>9</v>
      </c>
      <c r="I48">
        <v>877.82</v>
      </c>
      <c r="J48" s="4">
        <f t="shared" si="1"/>
        <v>71.600326264274074</v>
      </c>
    </row>
    <row r="49" spans="1:10" x14ac:dyDescent="0.3">
      <c r="A49" s="1">
        <v>45905</v>
      </c>
      <c r="B49" t="s">
        <v>15</v>
      </c>
      <c r="C49" t="s">
        <v>25</v>
      </c>
      <c r="D49" t="str">
        <f t="shared" si="0"/>
        <v>F008Prakash</v>
      </c>
      <c r="E49" t="s">
        <v>35</v>
      </c>
      <c r="F49">
        <v>10.3</v>
      </c>
      <c r="G49">
        <v>4.8</v>
      </c>
      <c r="H49">
        <v>8.1999999999999993</v>
      </c>
      <c r="I49">
        <v>768.38</v>
      </c>
      <c r="J49" s="4">
        <f t="shared" si="1"/>
        <v>74.599999999999994</v>
      </c>
    </row>
    <row r="50" spans="1:10" x14ac:dyDescent="0.3">
      <c r="A50" s="1">
        <v>45905</v>
      </c>
      <c r="B50" t="s">
        <v>16</v>
      </c>
      <c r="C50" t="s">
        <v>26</v>
      </c>
      <c r="D50" t="str">
        <f t="shared" si="0"/>
        <v>F009Meena</v>
      </c>
      <c r="E50" t="s">
        <v>36</v>
      </c>
      <c r="F50">
        <v>18.079999999999998</v>
      </c>
      <c r="G50">
        <v>4.2</v>
      </c>
      <c r="H50">
        <v>8</v>
      </c>
      <c r="I50">
        <v>1254.75</v>
      </c>
      <c r="J50" s="4">
        <f t="shared" si="1"/>
        <v>69.399889380530979</v>
      </c>
    </row>
    <row r="51" spans="1:10" x14ac:dyDescent="0.3">
      <c r="A51" s="1">
        <v>45905</v>
      </c>
      <c r="B51" t="s">
        <v>17</v>
      </c>
      <c r="C51" t="s">
        <v>27</v>
      </c>
      <c r="D51" t="str">
        <f t="shared" si="0"/>
        <v>F010Ravi</v>
      </c>
      <c r="E51" t="s">
        <v>37</v>
      </c>
      <c r="F51">
        <v>18.71</v>
      </c>
      <c r="G51">
        <v>4.0999999999999996</v>
      </c>
      <c r="H51">
        <v>8.1999999999999993</v>
      </c>
      <c r="I51">
        <v>1304.0899999999999</v>
      </c>
      <c r="J51" s="4">
        <f t="shared" si="1"/>
        <v>69.700160342063057</v>
      </c>
    </row>
    <row r="52" spans="1:10" x14ac:dyDescent="0.3">
      <c r="A52" s="1">
        <v>45906</v>
      </c>
      <c r="B52" t="s">
        <v>8</v>
      </c>
      <c r="C52" t="s">
        <v>18</v>
      </c>
      <c r="D52" t="str">
        <f t="shared" si="0"/>
        <v>F001Ramesh</v>
      </c>
      <c r="E52" t="s">
        <v>28</v>
      </c>
      <c r="F52">
        <v>15.64</v>
      </c>
      <c r="G52">
        <v>3.6</v>
      </c>
      <c r="H52">
        <v>8.3000000000000007</v>
      </c>
      <c r="I52">
        <v>1043.19</v>
      </c>
      <c r="J52" s="4">
        <f t="shared" si="1"/>
        <v>66.700127877237847</v>
      </c>
    </row>
    <row r="53" spans="1:10" x14ac:dyDescent="0.3">
      <c r="A53" s="1">
        <v>45906</v>
      </c>
      <c r="B53" t="s">
        <v>9</v>
      </c>
      <c r="C53" t="s">
        <v>19</v>
      </c>
      <c r="D53" t="str">
        <f t="shared" si="0"/>
        <v>F002Lakshmi</v>
      </c>
      <c r="E53" t="s">
        <v>29</v>
      </c>
      <c r="F53">
        <v>19.96</v>
      </c>
      <c r="G53">
        <v>4.7</v>
      </c>
      <c r="H53">
        <v>8.9</v>
      </c>
      <c r="I53">
        <v>1544.9</v>
      </c>
      <c r="J53" s="4">
        <f t="shared" si="1"/>
        <v>77.399799599198403</v>
      </c>
    </row>
    <row r="54" spans="1:10" x14ac:dyDescent="0.3">
      <c r="A54" s="1">
        <v>45906</v>
      </c>
      <c r="B54" t="s">
        <v>10</v>
      </c>
      <c r="C54" t="s">
        <v>20</v>
      </c>
      <c r="D54" t="str">
        <f t="shared" si="0"/>
        <v>F003Manjunath</v>
      </c>
      <c r="E54" t="s">
        <v>30</v>
      </c>
      <c r="F54">
        <v>12.67</v>
      </c>
      <c r="G54">
        <v>4</v>
      </c>
      <c r="H54">
        <v>8.1</v>
      </c>
      <c r="I54">
        <v>867.89</v>
      </c>
      <c r="J54" s="4">
        <f t="shared" si="1"/>
        <v>68.499605367008684</v>
      </c>
    </row>
    <row r="55" spans="1:10" x14ac:dyDescent="0.3">
      <c r="A55" s="1">
        <v>45906</v>
      </c>
      <c r="B55" t="s">
        <v>11</v>
      </c>
      <c r="C55" t="s">
        <v>21</v>
      </c>
      <c r="D55" t="str">
        <f t="shared" si="0"/>
        <v>F004Suresh</v>
      </c>
      <c r="E55" t="s">
        <v>31</v>
      </c>
      <c r="F55">
        <v>6.94</v>
      </c>
      <c r="G55">
        <v>3.6</v>
      </c>
      <c r="H55">
        <v>8.1999999999999993</v>
      </c>
      <c r="I55">
        <v>459.43</v>
      </c>
      <c r="J55" s="4">
        <f t="shared" si="1"/>
        <v>66.200288184438037</v>
      </c>
    </row>
    <row r="56" spans="1:10" x14ac:dyDescent="0.3">
      <c r="A56" s="1">
        <v>45906</v>
      </c>
      <c r="B56" t="s">
        <v>12</v>
      </c>
      <c r="C56" t="s">
        <v>22</v>
      </c>
      <c r="D56" t="str">
        <f t="shared" si="0"/>
        <v>F005Geetha</v>
      </c>
      <c r="E56" t="s">
        <v>32</v>
      </c>
      <c r="F56">
        <v>5.01</v>
      </c>
      <c r="G56">
        <v>5</v>
      </c>
      <c r="H56">
        <v>9.5</v>
      </c>
      <c r="I56">
        <v>413.32</v>
      </c>
      <c r="J56" s="4">
        <f t="shared" si="1"/>
        <v>82.499001996007991</v>
      </c>
    </row>
    <row r="57" spans="1:10" x14ac:dyDescent="0.3">
      <c r="A57" s="1">
        <v>45906</v>
      </c>
      <c r="B57" t="s">
        <v>13</v>
      </c>
      <c r="C57" t="s">
        <v>23</v>
      </c>
      <c r="D57" t="str">
        <f t="shared" si="0"/>
        <v>F006Anand</v>
      </c>
      <c r="E57" t="s">
        <v>33</v>
      </c>
      <c r="F57">
        <v>16.989999999999998</v>
      </c>
      <c r="G57">
        <v>4.5</v>
      </c>
      <c r="H57">
        <v>8.6</v>
      </c>
      <c r="I57">
        <v>1265.75</v>
      </c>
      <c r="J57" s="4">
        <f t="shared" si="1"/>
        <v>74.499705709240743</v>
      </c>
    </row>
    <row r="58" spans="1:10" x14ac:dyDescent="0.3">
      <c r="A58" s="1">
        <v>45906</v>
      </c>
      <c r="B58" t="s">
        <v>14</v>
      </c>
      <c r="C58" t="s">
        <v>24</v>
      </c>
      <c r="D58" t="str">
        <f t="shared" si="0"/>
        <v>F007Savitha</v>
      </c>
      <c r="E58" t="s">
        <v>34</v>
      </c>
      <c r="F58">
        <v>12.52</v>
      </c>
      <c r="G58">
        <v>4</v>
      </c>
      <c r="H58">
        <v>8.6</v>
      </c>
      <c r="I58">
        <v>888.92</v>
      </c>
      <c r="J58" s="4">
        <f t="shared" si="1"/>
        <v>71</v>
      </c>
    </row>
    <row r="59" spans="1:10" x14ac:dyDescent="0.3">
      <c r="A59" s="1">
        <v>45906</v>
      </c>
      <c r="B59" t="s">
        <v>15</v>
      </c>
      <c r="C59" t="s">
        <v>25</v>
      </c>
      <c r="D59" t="str">
        <f t="shared" si="0"/>
        <v>F008Prakash</v>
      </c>
      <c r="E59" t="s">
        <v>35</v>
      </c>
      <c r="F59">
        <v>12.59</v>
      </c>
      <c r="G59">
        <v>4.8</v>
      </c>
      <c r="H59">
        <v>9.3000000000000007</v>
      </c>
      <c r="I59">
        <v>1008.46</v>
      </c>
      <c r="J59" s="4">
        <f t="shared" si="1"/>
        <v>80.100079428117553</v>
      </c>
    </row>
    <row r="60" spans="1:10" x14ac:dyDescent="0.3">
      <c r="A60" s="1">
        <v>45906</v>
      </c>
      <c r="B60" t="s">
        <v>16</v>
      </c>
      <c r="C60" t="s">
        <v>26</v>
      </c>
      <c r="D60" t="str">
        <f t="shared" si="0"/>
        <v>F009Meena</v>
      </c>
      <c r="E60" t="s">
        <v>36</v>
      </c>
      <c r="F60">
        <v>19.739999999999998</v>
      </c>
      <c r="G60">
        <v>4.3</v>
      </c>
      <c r="H60">
        <v>9.1999999999999993</v>
      </c>
      <c r="I60">
        <v>1502.21</v>
      </c>
      <c r="J60" s="4">
        <f t="shared" si="1"/>
        <v>76.099797365754824</v>
      </c>
    </row>
    <row r="61" spans="1:10" x14ac:dyDescent="0.3">
      <c r="A61" s="1">
        <v>45906</v>
      </c>
      <c r="B61" t="s">
        <v>17</v>
      </c>
      <c r="C61" t="s">
        <v>27</v>
      </c>
      <c r="D61" t="str">
        <f t="shared" si="0"/>
        <v>F010Ravi</v>
      </c>
      <c r="E61" t="s">
        <v>37</v>
      </c>
      <c r="F61">
        <v>17.309999999999999</v>
      </c>
      <c r="G61">
        <v>4.5</v>
      </c>
      <c r="H61">
        <v>8.5</v>
      </c>
      <c r="I61">
        <v>1280.94</v>
      </c>
      <c r="J61" s="4">
        <f t="shared" si="1"/>
        <v>74.000000000000014</v>
      </c>
    </row>
    <row r="62" spans="1:10" x14ac:dyDescent="0.3">
      <c r="A62" s="1">
        <v>45907</v>
      </c>
      <c r="B62" t="s">
        <v>8</v>
      </c>
      <c r="C62" t="s">
        <v>18</v>
      </c>
      <c r="D62" t="str">
        <f t="shared" si="0"/>
        <v>F001Ramesh</v>
      </c>
      <c r="E62" t="s">
        <v>28</v>
      </c>
      <c r="F62">
        <v>17.43</v>
      </c>
      <c r="G62">
        <v>4.5</v>
      </c>
      <c r="H62">
        <v>9.1</v>
      </c>
      <c r="I62">
        <v>1342.11</v>
      </c>
      <c r="J62" s="4">
        <f t="shared" si="1"/>
        <v>77</v>
      </c>
    </row>
    <row r="63" spans="1:10" x14ac:dyDescent="0.3">
      <c r="A63" s="1">
        <v>45907</v>
      </c>
      <c r="B63" t="s">
        <v>9</v>
      </c>
      <c r="C63" t="s">
        <v>19</v>
      </c>
      <c r="D63" t="str">
        <f t="shared" si="0"/>
        <v>F002Lakshmi</v>
      </c>
      <c r="E63" t="s">
        <v>29</v>
      </c>
      <c r="F63">
        <v>9.1199999999999992</v>
      </c>
      <c r="G63">
        <v>4.0999999999999996</v>
      </c>
      <c r="H63">
        <v>9</v>
      </c>
      <c r="I63">
        <v>672.14</v>
      </c>
      <c r="J63" s="4">
        <f t="shared" si="1"/>
        <v>73.699561403508781</v>
      </c>
    </row>
    <row r="64" spans="1:10" x14ac:dyDescent="0.3">
      <c r="A64" s="1">
        <v>45907</v>
      </c>
      <c r="B64" t="s">
        <v>10</v>
      </c>
      <c r="C64" t="s">
        <v>20</v>
      </c>
      <c r="D64" t="str">
        <f t="shared" si="0"/>
        <v>F003Manjunath</v>
      </c>
      <c r="E64" t="s">
        <v>30</v>
      </c>
      <c r="F64">
        <v>14.27</v>
      </c>
      <c r="G64">
        <v>4</v>
      </c>
      <c r="H64">
        <v>8.4</v>
      </c>
      <c r="I64">
        <v>998.9</v>
      </c>
      <c r="J64" s="4">
        <f t="shared" si="1"/>
        <v>70</v>
      </c>
    </row>
    <row r="65" spans="1:10" x14ac:dyDescent="0.3">
      <c r="A65" s="1">
        <v>45907</v>
      </c>
      <c r="B65" t="s">
        <v>11</v>
      </c>
      <c r="C65" t="s">
        <v>21</v>
      </c>
      <c r="D65" t="str">
        <f t="shared" si="0"/>
        <v>F004Suresh</v>
      </c>
      <c r="E65" t="s">
        <v>31</v>
      </c>
      <c r="F65">
        <v>5.09</v>
      </c>
      <c r="G65">
        <v>4.4000000000000004</v>
      </c>
      <c r="H65">
        <v>9</v>
      </c>
      <c r="I65">
        <v>385.82</v>
      </c>
      <c r="J65" s="4">
        <f t="shared" si="1"/>
        <v>75.799607072691558</v>
      </c>
    </row>
    <row r="66" spans="1:10" x14ac:dyDescent="0.3">
      <c r="A66" s="1">
        <v>45907</v>
      </c>
      <c r="B66" t="s">
        <v>12</v>
      </c>
      <c r="C66" t="s">
        <v>22</v>
      </c>
      <c r="D66" t="str">
        <f t="shared" ref="D66:D129" si="2">_xlfn.CONCAT(B66,C66)</f>
        <v>F005Geetha</v>
      </c>
      <c r="E66" t="s">
        <v>32</v>
      </c>
      <c r="F66">
        <v>19.71</v>
      </c>
      <c r="G66">
        <v>3.6</v>
      </c>
      <c r="H66">
        <v>9.1999999999999993</v>
      </c>
      <c r="I66">
        <v>1403.35</v>
      </c>
      <c r="J66" s="4">
        <f t="shared" si="1"/>
        <v>71.199898528665642</v>
      </c>
    </row>
    <row r="67" spans="1:10" x14ac:dyDescent="0.3">
      <c r="A67" s="1">
        <v>45907</v>
      </c>
      <c r="B67" t="s">
        <v>13</v>
      </c>
      <c r="C67" t="s">
        <v>23</v>
      </c>
      <c r="D67" t="str">
        <f t="shared" si="2"/>
        <v>F006Anand</v>
      </c>
      <c r="E67" t="s">
        <v>33</v>
      </c>
      <c r="F67">
        <v>8.18</v>
      </c>
      <c r="G67">
        <v>3.6</v>
      </c>
      <c r="H67">
        <v>8.6999999999999993</v>
      </c>
      <c r="I67">
        <v>561.97</v>
      </c>
      <c r="J67" s="4">
        <f t="shared" ref="J67:J130" si="3">I67/F67</f>
        <v>68.700488997555013</v>
      </c>
    </row>
    <row r="68" spans="1:10" x14ac:dyDescent="0.3">
      <c r="A68" s="1">
        <v>45907</v>
      </c>
      <c r="B68" t="s">
        <v>14</v>
      </c>
      <c r="C68" t="s">
        <v>24</v>
      </c>
      <c r="D68" t="str">
        <f t="shared" si="2"/>
        <v>F007Savitha</v>
      </c>
      <c r="E68" t="s">
        <v>34</v>
      </c>
      <c r="F68">
        <v>19.07</v>
      </c>
      <c r="G68">
        <v>3.5</v>
      </c>
      <c r="H68">
        <v>9</v>
      </c>
      <c r="I68">
        <v>1325.37</v>
      </c>
      <c r="J68" s="4">
        <f t="shared" si="3"/>
        <v>69.500262191924477</v>
      </c>
    </row>
    <row r="69" spans="1:10" x14ac:dyDescent="0.3">
      <c r="A69" s="1">
        <v>45907</v>
      </c>
      <c r="B69" t="s">
        <v>15</v>
      </c>
      <c r="C69" t="s">
        <v>25</v>
      </c>
      <c r="D69" t="str">
        <f t="shared" si="2"/>
        <v>F008Prakash</v>
      </c>
      <c r="E69" t="s">
        <v>35</v>
      </c>
      <c r="F69">
        <v>18.14</v>
      </c>
      <c r="G69">
        <v>4.9000000000000004</v>
      </c>
      <c r="H69">
        <v>9</v>
      </c>
      <c r="I69">
        <v>1438.5</v>
      </c>
      <c r="J69" s="4">
        <f t="shared" si="3"/>
        <v>79.299889746416753</v>
      </c>
    </row>
    <row r="70" spans="1:10" x14ac:dyDescent="0.3">
      <c r="A70" s="1">
        <v>45907</v>
      </c>
      <c r="B70" t="s">
        <v>16</v>
      </c>
      <c r="C70" t="s">
        <v>26</v>
      </c>
      <c r="D70" t="str">
        <f t="shared" si="2"/>
        <v>F009Meena</v>
      </c>
      <c r="E70" t="s">
        <v>36</v>
      </c>
      <c r="F70">
        <v>5.32</v>
      </c>
      <c r="G70">
        <v>3.8</v>
      </c>
      <c r="H70">
        <v>8.3000000000000007</v>
      </c>
      <c r="I70">
        <v>362.29</v>
      </c>
      <c r="J70" s="4">
        <f t="shared" si="3"/>
        <v>68.099624060150376</v>
      </c>
    </row>
    <row r="71" spans="1:10" x14ac:dyDescent="0.3">
      <c r="A71" s="1">
        <v>45907</v>
      </c>
      <c r="B71" t="s">
        <v>17</v>
      </c>
      <c r="C71" t="s">
        <v>27</v>
      </c>
      <c r="D71" t="str">
        <f t="shared" si="2"/>
        <v>F010Ravi</v>
      </c>
      <c r="E71" t="s">
        <v>37</v>
      </c>
      <c r="F71">
        <v>17.05</v>
      </c>
      <c r="G71">
        <v>5</v>
      </c>
      <c r="H71">
        <v>8.9</v>
      </c>
      <c r="I71">
        <v>1355.48</v>
      </c>
      <c r="J71" s="4">
        <f t="shared" si="3"/>
        <v>79.500293255131965</v>
      </c>
    </row>
    <row r="72" spans="1:10" x14ac:dyDescent="0.3">
      <c r="A72" s="1">
        <v>45908</v>
      </c>
      <c r="B72" t="s">
        <v>8</v>
      </c>
      <c r="C72" t="s">
        <v>18</v>
      </c>
      <c r="D72" t="str">
        <f t="shared" si="2"/>
        <v>F001Ramesh</v>
      </c>
      <c r="E72" t="s">
        <v>28</v>
      </c>
      <c r="F72">
        <v>6.56</v>
      </c>
      <c r="G72">
        <v>4.9000000000000004</v>
      </c>
      <c r="H72">
        <v>8.8000000000000007</v>
      </c>
      <c r="I72">
        <v>513.65</v>
      </c>
      <c r="J72" s="4">
        <f t="shared" si="3"/>
        <v>78.300304878048777</v>
      </c>
    </row>
    <row r="73" spans="1:10" x14ac:dyDescent="0.3">
      <c r="A73" s="1">
        <v>45908</v>
      </c>
      <c r="B73" t="s">
        <v>9</v>
      </c>
      <c r="C73" t="s">
        <v>19</v>
      </c>
      <c r="D73" t="str">
        <f t="shared" si="2"/>
        <v>F002Lakshmi</v>
      </c>
      <c r="E73" t="s">
        <v>29</v>
      </c>
      <c r="F73">
        <v>5.88</v>
      </c>
      <c r="G73">
        <v>4.2</v>
      </c>
      <c r="H73">
        <v>9.5</v>
      </c>
      <c r="I73">
        <v>452.17</v>
      </c>
      <c r="J73" s="4">
        <f t="shared" si="3"/>
        <v>76.899659863945587</v>
      </c>
    </row>
    <row r="74" spans="1:10" x14ac:dyDescent="0.3">
      <c r="A74" s="1">
        <v>45908</v>
      </c>
      <c r="B74" t="s">
        <v>10</v>
      </c>
      <c r="C74" t="s">
        <v>20</v>
      </c>
      <c r="D74" t="str">
        <f t="shared" si="2"/>
        <v>F003Manjunath</v>
      </c>
      <c r="E74" t="s">
        <v>30</v>
      </c>
      <c r="F74">
        <v>6.64</v>
      </c>
      <c r="G74">
        <v>3.7</v>
      </c>
      <c r="H74">
        <v>8.4</v>
      </c>
      <c r="I74">
        <v>450.86</v>
      </c>
      <c r="J74" s="4">
        <f t="shared" si="3"/>
        <v>67.900602409638566</v>
      </c>
    </row>
    <row r="75" spans="1:10" x14ac:dyDescent="0.3">
      <c r="A75" s="1">
        <v>45908</v>
      </c>
      <c r="B75" t="s">
        <v>11</v>
      </c>
      <c r="C75" t="s">
        <v>21</v>
      </c>
      <c r="D75" t="str">
        <f t="shared" si="2"/>
        <v>F004Suresh</v>
      </c>
      <c r="E75" t="s">
        <v>31</v>
      </c>
      <c r="F75">
        <v>15.54</v>
      </c>
      <c r="G75">
        <v>3.6</v>
      </c>
      <c r="H75">
        <v>9.3000000000000007</v>
      </c>
      <c r="I75">
        <v>1114.22</v>
      </c>
      <c r="J75" s="4">
        <f t="shared" si="3"/>
        <v>71.700128700128701</v>
      </c>
    </row>
    <row r="76" spans="1:10" x14ac:dyDescent="0.3">
      <c r="A76" s="1">
        <v>45908</v>
      </c>
      <c r="B76" t="s">
        <v>12</v>
      </c>
      <c r="C76" t="s">
        <v>22</v>
      </c>
      <c r="D76" t="str">
        <f t="shared" si="2"/>
        <v>F005Geetha</v>
      </c>
      <c r="E76" t="s">
        <v>32</v>
      </c>
      <c r="F76">
        <v>12.36</v>
      </c>
      <c r="G76">
        <v>4.5999999999999996</v>
      </c>
      <c r="H76">
        <v>8.3000000000000007</v>
      </c>
      <c r="I76">
        <v>910.93</v>
      </c>
      <c r="J76" s="4">
        <f t="shared" si="3"/>
        <v>73.699838187702269</v>
      </c>
    </row>
    <row r="77" spans="1:10" x14ac:dyDescent="0.3">
      <c r="A77" s="1">
        <v>45908</v>
      </c>
      <c r="B77" t="s">
        <v>13</v>
      </c>
      <c r="C77" t="s">
        <v>23</v>
      </c>
      <c r="D77" t="str">
        <f t="shared" si="2"/>
        <v>F006Anand</v>
      </c>
      <c r="E77" t="s">
        <v>33</v>
      </c>
      <c r="F77">
        <v>5.01</v>
      </c>
      <c r="G77">
        <v>4.5</v>
      </c>
      <c r="H77">
        <v>8.1</v>
      </c>
      <c r="I77">
        <v>360.72</v>
      </c>
      <c r="J77" s="4">
        <f t="shared" si="3"/>
        <v>72.000000000000014</v>
      </c>
    </row>
    <row r="78" spans="1:10" x14ac:dyDescent="0.3">
      <c r="A78" s="1">
        <v>45908</v>
      </c>
      <c r="B78" t="s">
        <v>14</v>
      </c>
      <c r="C78" t="s">
        <v>24</v>
      </c>
      <c r="D78" t="str">
        <f t="shared" si="2"/>
        <v>F007Savitha</v>
      </c>
      <c r="E78" t="s">
        <v>34</v>
      </c>
      <c r="F78">
        <v>5.1100000000000003</v>
      </c>
      <c r="G78">
        <v>4</v>
      </c>
      <c r="H78">
        <v>8.9</v>
      </c>
      <c r="I78">
        <v>370.48</v>
      </c>
      <c r="J78" s="4">
        <f t="shared" si="3"/>
        <v>72.500978473581213</v>
      </c>
    </row>
    <row r="79" spans="1:10" x14ac:dyDescent="0.3">
      <c r="A79" s="1">
        <v>45908</v>
      </c>
      <c r="B79" t="s">
        <v>15</v>
      </c>
      <c r="C79" t="s">
        <v>25</v>
      </c>
      <c r="D79" t="str">
        <f t="shared" si="2"/>
        <v>F008Prakash</v>
      </c>
      <c r="E79" t="s">
        <v>35</v>
      </c>
      <c r="F79">
        <v>18.61</v>
      </c>
      <c r="G79">
        <v>4.0999999999999996</v>
      </c>
      <c r="H79">
        <v>8.1</v>
      </c>
      <c r="I79">
        <v>1287.81</v>
      </c>
      <c r="J79" s="4">
        <f t="shared" si="3"/>
        <v>69.199892530897372</v>
      </c>
    </row>
    <row r="80" spans="1:10" x14ac:dyDescent="0.3">
      <c r="A80" s="1">
        <v>45908</v>
      </c>
      <c r="B80" t="s">
        <v>16</v>
      </c>
      <c r="C80" t="s">
        <v>26</v>
      </c>
      <c r="D80" t="str">
        <f t="shared" si="2"/>
        <v>F009Meena</v>
      </c>
      <c r="E80" t="s">
        <v>36</v>
      </c>
      <c r="F80">
        <v>16.920000000000002</v>
      </c>
      <c r="G80">
        <v>4.7</v>
      </c>
      <c r="H80">
        <v>9.3000000000000007</v>
      </c>
      <c r="I80">
        <v>1343.45</v>
      </c>
      <c r="J80" s="4">
        <f t="shared" si="3"/>
        <v>79.400118203309688</v>
      </c>
    </row>
    <row r="81" spans="1:10" x14ac:dyDescent="0.3">
      <c r="A81" s="1">
        <v>45908</v>
      </c>
      <c r="B81" t="s">
        <v>17</v>
      </c>
      <c r="C81" t="s">
        <v>27</v>
      </c>
      <c r="D81" t="str">
        <f t="shared" si="2"/>
        <v>F010Ravi</v>
      </c>
      <c r="E81" t="s">
        <v>37</v>
      </c>
      <c r="F81">
        <v>13.56</v>
      </c>
      <c r="G81">
        <v>4.5</v>
      </c>
      <c r="H81">
        <v>8.5</v>
      </c>
      <c r="I81">
        <v>1003.44</v>
      </c>
      <c r="J81" s="4">
        <f t="shared" si="3"/>
        <v>74</v>
      </c>
    </row>
    <row r="82" spans="1:10" x14ac:dyDescent="0.3">
      <c r="A82" s="1">
        <v>45909</v>
      </c>
      <c r="B82" t="s">
        <v>8</v>
      </c>
      <c r="C82" t="s">
        <v>18</v>
      </c>
      <c r="D82" t="str">
        <f t="shared" si="2"/>
        <v>F001Ramesh</v>
      </c>
      <c r="E82" t="s">
        <v>28</v>
      </c>
      <c r="F82">
        <v>11.07</v>
      </c>
      <c r="G82">
        <v>4.2</v>
      </c>
      <c r="H82">
        <v>9.4</v>
      </c>
      <c r="I82">
        <v>845.75</v>
      </c>
      <c r="J82" s="4">
        <f t="shared" si="3"/>
        <v>76.400180668473354</v>
      </c>
    </row>
    <row r="83" spans="1:10" x14ac:dyDescent="0.3">
      <c r="A83" s="1">
        <v>45909</v>
      </c>
      <c r="B83" t="s">
        <v>9</v>
      </c>
      <c r="C83" t="s">
        <v>19</v>
      </c>
      <c r="D83" t="str">
        <f t="shared" si="2"/>
        <v>F002Lakshmi</v>
      </c>
      <c r="E83" t="s">
        <v>29</v>
      </c>
      <c r="F83">
        <v>11.77</v>
      </c>
      <c r="G83">
        <v>5</v>
      </c>
      <c r="H83">
        <v>9</v>
      </c>
      <c r="I83">
        <v>941.6</v>
      </c>
      <c r="J83" s="4">
        <f t="shared" si="3"/>
        <v>80</v>
      </c>
    </row>
    <row r="84" spans="1:10" x14ac:dyDescent="0.3">
      <c r="A84" s="1">
        <v>45909</v>
      </c>
      <c r="B84" t="s">
        <v>10</v>
      </c>
      <c r="C84" t="s">
        <v>20</v>
      </c>
      <c r="D84" t="str">
        <f t="shared" si="2"/>
        <v>F003Manjunath</v>
      </c>
      <c r="E84" t="s">
        <v>30</v>
      </c>
      <c r="F84">
        <v>14.63</v>
      </c>
      <c r="G84">
        <v>3.9</v>
      </c>
      <c r="H84">
        <v>8.6</v>
      </c>
      <c r="I84">
        <v>1028.49</v>
      </c>
      <c r="J84" s="4">
        <f t="shared" si="3"/>
        <v>70.300068352699924</v>
      </c>
    </row>
    <row r="85" spans="1:10" x14ac:dyDescent="0.3">
      <c r="A85" s="1">
        <v>45909</v>
      </c>
      <c r="B85" t="s">
        <v>11</v>
      </c>
      <c r="C85" t="s">
        <v>21</v>
      </c>
      <c r="D85" t="str">
        <f t="shared" si="2"/>
        <v>F004Suresh</v>
      </c>
      <c r="E85" t="s">
        <v>31</v>
      </c>
      <c r="F85">
        <v>12.26</v>
      </c>
      <c r="G85">
        <v>4.3</v>
      </c>
      <c r="H85">
        <v>8.1999999999999993</v>
      </c>
      <c r="I85">
        <v>871.69</v>
      </c>
      <c r="J85" s="4">
        <f t="shared" si="3"/>
        <v>71.100326264274074</v>
      </c>
    </row>
    <row r="86" spans="1:10" x14ac:dyDescent="0.3">
      <c r="A86" s="1">
        <v>45909</v>
      </c>
      <c r="B86" t="s">
        <v>12</v>
      </c>
      <c r="C86" t="s">
        <v>22</v>
      </c>
      <c r="D86" t="str">
        <f t="shared" si="2"/>
        <v>F005Geetha</v>
      </c>
      <c r="E86" t="s">
        <v>32</v>
      </c>
      <c r="F86">
        <v>18.37</v>
      </c>
      <c r="G86">
        <v>3.8</v>
      </c>
      <c r="H86">
        <v>9</v>
      </c>
      <c r="I86">
        <v>1315.29</v>
      </c>
      <c r="J86" s="4">
        <f t="shared" si="3"/>
        <v>71.599891126837235</v>
      </c>
    </row>
    <row r="87" spans="1:10" x14ac:dyDescent="0.3">
      <c r="A87" s="1">
        <v>45909</v>
      </c>
      <c r="B87" t="s">
        <v>13</v>
      </c>
      <c r="C87" t="s">
        <v>23</v>
      </c>
      <c r="D87" t="str">
        <f t="shared" si="2"/>
        <v>F006Anand</v>
      </c>
      <c r="E87" t="s">
        <v>33</v>
      </c>
      <c r="F87">
        <v>9.5299999999999994</v>
      </c>
      <c r="G87">
        <v>3.6</v>
      </c>
      <c r="H87">
        <v>8.3000000000000007</v>
      </c>
      <c r="I87">
        <v>635.65</v>
      </c>
      <c r="J87" s="4">
        <f t="shared" si="3"/>
        <v>66.699895068205663</v>
      </c>
    </row>
    <row r="88" spans="1:10" x14ac:dyDescent="0.3">
      <c r="A88" s="1">
        <v>45909</v>
      </c>
      <c r="B88" t="s">
        <v>14</v>
      </c>
      <c r="C88" t="s">
        <v>24</v>
      </c>
      <c r="D88" t="str">
        <f t="shared" si="2"/>
        <v>F007Savitha</v>
      </c>
      <c r="E88" t="s">
        <v>34</v>
      </c>
      <c r="F88">
        <v>5.43</v>
      </c>
      <c r="G88">
        <v>4.4000000000000004</v>
      </c>
      <c r="H88">
        <v>9</v>
      </c>
      <c r="I88">
        <v>411.59</v>
      </c>
      <c r="J88" s="4">
        <f t="shared" si="3"/>
        <v>75.799263351749545</v>
      </c>
    </row>
    <row r="89" spans="1:10" x14ac:dyDescent="0.3">
      <c r="A89" s="1">
        <v>45909</v>
      </c>
      <c r="B89" t="s">
        <v>15</v>
      </c>
      <c r="C89" t="s">
        <v>25</v>
      </c>
      <c r="D89" t="str">
        <f t="shared" si="2"/>
        <v>F008Prakash</v>
      </c>
      <c r="E89" t="s">
        <v>35</v>
      </c>
      <c r="F89">
        <v>11.55</v>
      </c>
      <c r="G89">
        <v>4</v>
      </c>
      <c r="H89">
        <v>8.3000000000000007</v>
      </c>
      <c r="I89">
        <v>802.73</v>
      </c>
      <c r="J89" s="4">
        <f t="shared" si="3"/>
        <v>69.500432900432898</v>
      </c>
    </row>
    <row r="90" spans="1:10" x14ac:dyDescent="0.3">
      <c r="A90" s="1">
        <v>45909</v>
      </c>
      <c r="B90" t="s">
        <v>16</v>
      </c>
      <c r="C90" t="s">
        <v>26</v>
      </c>
      <c r="D90" t="str">
        <f t="shared" si="2"/>
        <v>F009Meena</v>
      </c>
      <c r="E90" t="s">
        <v>36</v>
      </c>
      <c r="F90">
        <v>15.4</v>
      </c>
      <c r="G90">
        <v>4.3</v>
      </c>
      <c r="H90">
        <v>9</v>
      </c>
      <c r="I90">
        <v>1156.54</v>
      </c>
      <c r="J90" s="4">
        <f t="shared" si="3"/>
        <v>75.099999999999994</v>
      </c>
    </row>
    <row r="91" spans="1:10" x14ac:dyDescent="0.3">
      <c r="A91" s="1">
        <v>45909</v>
      </c>
      <c r="B91" t="s">
        <v>17</v>
      </c>
      <c r="C91" t="s">
        <v>27</v>
      </c>
      <c r="D91" t="str">
        <f t="shared" si="2"/>
        <v>F010Ravi</v>
      </c>
      <c r="E91" t="s">
        <v>37</v>
      </c>
      <c r="F91">
        <v>5.17</v>
      </c>
      <c r="G91">
        <v>3.6</v>
      </c>
      <c r="H91">
        <v>8.1999999999999993</v>
      </c>
      <c r="I91">
        <v>342.25</v>
      </c>
      <c r="J91" s="4">
        <f t="shared" si="3"/>
        <v>66.199226305609287</v>
      </c>
    </row>
    <row r="92" spans="1:10" x14ac:dyDescent="0.3">
      <c r="A92" s="1">
        <v>45910</v>
      </c>
      <c r="B92" t="s">
        <v>8</v>
      </c>
      <c r="C92" t="s">
        <v>18</v>
      </c>
      <c r="D92" t="str">
        <f t="shared" si="2"/>
        <v>F001Ramesh</v>
      </c>
      <c r="E92" t="s">
        <v>28</v>
      </c>
      <c r="F92">
        <v>15.02</v>
      </c>
      <c r="G92">
        <v>4.8</v>
      </c>
      <c r="H92">
        <v>9.1999999999999993</v>
      </c>
      <c r="I92">
        <v>1195.5899999999999</v>
      </c>
      <c r="J92" s="4">
        <f t="shared" si="3"/>
        <v>79.599866844207725</v>
      </c>
    </row>
    <row r="93" spans="1:10" x14ac:dyDescent="0.3">
      <c r="A93" s="1">
        <v>45910</v>
      </c>
      <c r="B93" t="s">
        <v>9</v>
      </c>
      <c r="C93" t="s">
        <v>19</v>
      </c>
      <c r="D93" t="str">
        <f t="shared" si="2"/>
        <v>F002Lakshmi</v>
      </c>
      <c r="E93" t="s">
        <v>29</v>
      </c>
      <c r="F93">
        <v>13.16</v>
      </c>
      <c r="G93">
        <v>4.5999999999999996</v>
      </c>
      <c r="H93">
        <v>9.5</v>
      </c>
      <c r="I93">
        <v>1048.8499999999999</v>
      </c>
      <c r="J93" s="4">
        <f t="shared" si="3"/>
        <v>79.699848024316097</v>
      </c>
    </row>
    <row r="94" spans="1:10" x14ac:dyDescent="0.3">
      <c r="A94" s="1">
        <v>45910</v>
      </c>
      <c r="B94" t="s">
        <v>10</v>
      </c>
      <c r="C94" t="s">
        <v>20</v>
      </c>
      <c r="D94" t="str">
        <f t="shared" si="2"/>
        <v>F003Manjunath</v>
      </c>
      <c r="E94" t="s">
        <v>30</v>
      </c>
      <c r="F94">
        <v>18.05</v>
      </c>
      <c r="G94">
        <v>4</v>
      </c>
      <c r="H94">
        <v>8.6</v>
      </c>
      <c r="I94">
        <v>1281.55</v>
      </c>
      <c r="J94" s="4">
        <f t="shared" si="3"/>
        <v>71</v>
      </c>
    </row>
    <row r="95" spans="1:10" x14ac:dyDescent="0.3">
      <c r="A95" s="1">
        <v>45910</v>
      </c>
      <c r="B95" t="s">
        <v>11</v>
      </c>
      <c r="C95" t="s">
        <v>21</v>
      </c>
      <c r="D95" t="str">
        <f t="shared" si="2"/>
        <v>F004Suresh</v>
      </c>
      <c r="E95" t="s">
        <v>31</v>
      </c>
      <c r="F95">
        <v>6.17</v>
      </c>
      <c r="G95">
        <v>4.5999999999999996</v>
      </c>
      <c r="H95">
        <v>8.6999999999999993</v>
      </c>
      <c r="I95">
        <v>467.07</v>
      </c>
      <c r="J95" s="4">
        <f t="shared" si="3"/>
        <v>75.700162074554299</v>
      </c>
    </row>
    <row r="96" spans="1:10" x14ac:dyDescent="0.3">
      <c r="A96" s="1">
        <v>45910</v>
      </c>
      <c r="B96" t="s">
        <v>12</v>
      </c>
      <c r="C96" t="s">
        <v>22</v>
      </c>
      <c r="D96" t="str">
        <f t="shared" si="2"/>
        <v>F005Geetha</v>
      </c>
      <c r="E96" t="s">
        <v>32</v>
      </c>
      <c r="F96">
        <v>14.15</v>
      </c>
      <c r="G96">
        <v>3.6</v>
      </c>
      <c r="H96">
        <v>9</v>
      </c>
      <c r="I96">
        <v>993.33</v>
      </c>
      <c r="J96" s="4">
        <f t="shared" si="3"/>
        <v>70.2</v>
      </c>
    </row>
    <row r="97" spans="1:10" x14ac:dyDescent="0.3">
      <c r="A97" s="1">
        <v>45910</v>
      </c>
      <c r="B97" t="s">
        <v>13</v>
      </c>
      <c r="C97" t="s">
        <v>23</v>
      </c>
      <c r="D97" t="str">
        <f t="shared" si="2"/>
        <v>F006Anand</v>
      </c>
      <c r="E97" t="s">
        <v>33</v>
      </c>
      <c r="F97">
        <v>11.2</v>
      </c>
      <c r="G97">
        <v>4.4000000000000004</v>
      </c>
      <c r="H97">
        <v>8.6</v>
      </c>
      <c r="I97">
        <v>826.56</v>
      </c>
      <c r="J97" s="4">
        <f t="shared" si="3"/>
        <v>73.8</v>
      </c>
    </row>
    <row r="98" spans="1:10" x14ac:dyDescent="0.3">
      <c r="A98" s="1">
        <v>45910</v>
      </c>
      <c r="B98" t="s">
        <v>14</v>
      </c>
      <c r="C98" t="s">
        <v>24</v>
      </c>
      <c r="D98" t="str">
        <f t="shared" si="2"/>
        <v>F007Savitha</v>
      </c>
      <c r="E98" t="s">
        <v>34</v>
      </c>
      <c r="F98">
        <v>18.37</v>
      </c>
      <c r="G98">
        <v>4.9000000000000004</v>
      </c>
      <c r="H98">
        <v>9</v>
      </c>
      <c r="I98">
        <v>1456.74</v>
      </c>
      <c r="J98" s="4">
        <f t="shared" si="3"/>
        <v>79.299945563418618</v>
      </c>
    </row>
    <row r="99" spans="1:10" x14ac:dyDescent="0.3">
      <c r="A99" s="1">
        <v>45910</v>
      </c>
      <c r="B99" t="s">
        <v>15</v>
      </c>
      <c r="C99" t="s">
        <v>25</v>
      </c>
      <c r="D99" t="str">
        <f t="shared" si="2"/>
        <v>F008Prakash</v>
      </c>
      <c r="E99" t="s">
        <v>35</v>
      </c>
      <c r="F99">
        <v>17.09</v>
      </c>
      <c r="G99">
        <v>4.7</v>
      </c>
      <c r="H99">
        <v>8.1999999999999993</v>
      </c>
      <c r="I99">
        <v>1262.95</v>
      </c>
      <c r="J99" s="4">
        <f t="shared" si="3"/>
        <v>73.899941486249276</v>
      </c>
    </row>
    <row r="100" spans="1:10" x14ac:dyDescent="0.3">
      <c r="A100" s="1">
        <v>45910</v>
      </c>
      <c r="B100" t="s">
        <v>16</v>
      </c>
      <c r="C100" t="s">
        <v>26</v>
      </c>
      <c r="D100" t="str">
        <f t="shared" si="2"/>
        <v>F009Meena</v>
      </c>
      <c r="E100" t="s">
        <v>36</v>
      </c>
      <c r="F100">
        <v>13.61</v>
      </c>
      <c r="G100">
        <v>4.3</v>
      </c>
      <c r="H100">
        <v>8.1999999999999993</v>
      </c>
      <c r="I100">
        <v>967.67</v>
      </c>
      <c r="J100" s="4">
        <f t="shared" si="3"/>
        <v>71.099926524614247</v>
      </c>
    </row>
    <row r="101" spans="1:10" x14ac:dyDescent="0.3">
      <c r="A101" s="1">
        <v>45910</v>
      </c>
      <c r="B101" t="s">
        <v>17</v>
      </c>
      <c r="C101" t="s">
        <v>27</v>
      </c>
      <c r="D101" t="str">
        <f t="shared" si="2"/>
        <v>F010Ravi</v>
      </c>
      <c r="E101" t="s">
        <v>37</v>
      </c>
      <c r="F101">
        <v>12.55</v>
      </c>
      <c r="G101">
        <v>3.8</v>
      </c>
      <c r="H101">
        <v>9.4</v>
      </c>
      <c r="I101">
        <v>923.68</v>
      </c>
      <c r="J101" s="4">
        <f t="shared" si="3"/>
        <v>73.599999999999994</v>
      </c>
    </row>
    <row r="102" spans="1:10" x14ac:dyDescent="0.3">
      <c r="A102" s="1">
        <v>45911</v>
      </c>
      <c r="B102" t="s">
        <v>8</v>
      </c>
      <c r="C102" t="s">
        <v>18</v>
      </c>
      <c r="D102" t="str">
        <f t="shared" si="2"/>
        <v>F001Ramesh</v>
      </c>
      <c r="E102" t="s">
        <v>28</v>
      </c>
      <c r="F102">
        <v>8.58</v>
      </c>
      <c r="G102">
        <v>4.8</v>
      </c>
      <c r="H102">
        <v>8.1</v>
      </c>
      <c r="I102">
        <v>635.78</v>
      </c>
      <c r="J102" s="4">
        <f t="shared" si="3"/>
        <v>74.100233100233098</v>
      </c>
    </row>
    <row r="103" spans="1:10" x14ac:dyDescent="0.3">
      <c r="A103" s="1">
        <v>45911</v>
      </c>
      <c r="B103" t="s">
        <v>9</v>
      </c>
      <c r="C103" t="s">
        <v>19</v>
      </c>
      <c r="D103" t="str">
        <f t="shared" si="2"/>
        <v>F002Lakshmi</v>
      </c>
      <c r="E103" t="s">
        <v>29</v>
      </c>
      <c r="F103">
        <v>18.52</v>
      </c>
      <c r="G103">
        <v>4.5999999999999996</v>
      </c>
      <c r="H103">
        <v>8.6999999999999993</v>
      </c>
      <c r="I103">
        <v>1401.96</v>
      </c>
      <c r="J103" s="4">
        <f t="shared" si="3"/>
        <v>75.699784017278617</v>
      </c>
    </row>
    <row r="104" spans="1:10" x14ac:dyDescent="0.3">
      <c r="A104" s="1">
        <v>45911</v>
      </c>
      <c r="B104" t="s">
        <v>10</v>
      </c>
      <c r="C104" t="s">
        <v>20</v>
      </c>
      <c r="D104" t="str">
        <f t="shared" si="2"/>
        <v>F003Manjunath</v>
      </c>
      <c r="E104" t="s">
        <v>30</v>
      </c>
      <c r="F104">
        <v>8.7200000000000006</v>
      </c>
      <c r="G104">
        <v>4.5</v>
      </c>
      <c r="H104">
        <v>8.6999999999999993</v>
      </c>
      <c r="I104">
        <v>654</v>
      </c>
      <c r="J104" s="4">
        <f t="shared" si="3"/>
        <v>75</v>
      </c>
    </row>
    <row r="105" spans="1:10" x14ac:dyDescent="0.3">
      <c r="A105" s="1">
        <v>45911</v>
      </c>
      <c r="B105" t="s">
        <v>11</v>
      </c>
      <c r="C105" t="s">
        <v>21</v>
      </c>
      <c r="D105" t="str">
        <f t="shared" si="2"/>
        <v>F004Suresh</v>
      </c>
      <c r="E105" t="s">
        <v>31</v>
      </c>
      <c r="F105">
        <v>6.4</v>
      </c>
      <c r="G105">
        <v>4.0999999999999996</v>
      </c>
      <c r="H105">
        <v>8.3000000000000007</v>
      </c>
      <c r="I105">
        <v>449.28</v>
      </c>
      <c r="J105" s="4">
        <f t="shared" si="3"/>
        <v>70.199999999999989</v>
      </c>
    </row>
    <row r="106" spans="1:10" x14ac:dyDescent="0.3">
      <c r="A106" s="1">
        <v>45911</v>
      </c>
      <c r="B106" t="s">
        <v>12</v>
      </c>
      <c r="C106" t="s">
        <v>22</v>
      </c>
      <c r="D106" t="str">
        <f t="shared" si="2"/>
        <v>F005Geetha</v>
      </c>
      <c r="E106" t="s">
        <v>32</v>
      </c>
      <c r="F106">
        <v>10.59</v>
      </c>
      <c r="G106">
        <v>4.7</v>
      </c>
      <c r="H106">
        <v>8.9</v>
      </c>
      <c r="I106">
        <v>819.67</v>
      </c>
      <c r="J106" s="4">
        <f t="shared" si="3"/>
        <v>77.400377714825311</v>
      </c>
    </row>
    <row r="107" spans="1:10" x14ac:dyDescent="0.3">
      <c r="A107" s="1">
        <v>45911</v>
      </c>
      <c r="B107" t="s">
        <v>13</v>
      </c>
      <c r="C107" t="s">
        <v>23</v>
      </c>
      <c r="D107" t="str">
        <f t="shared" si="2"/>
        <v>F006Anand</v>
      </c>
      <c r="E107" t="s">
        <v>33</v>
      </c>
      <c r="F107">
        <v>14.79</v>
      </c>
      <c r="G107">
        <v>4.0999999999999996</v>
      </c>
      <c r="H107">
        <v>8.4</v>
      </c>
      <c r="I107">
        <v>1045.6500000000001</v>
      </c>
      <c r="J107" s="4">
        <f t="shared" si="3"/>
        <v>70.699797160243421</v>
      </c>
    </row>
    <row r="108" spans="1:10" x14ac:dyDescent="0.3">
      <c r="A108" s="1">
        <v>45911</v>
      </c>
      <c r="B108" t="s">
        <v>14</v>
      </c>
      <c r="C108" t="s">
        <v>24</v>
      </c>
      <c r="D108" t="str">
        <f t="shared" si="2"/>
        <v>F007Savitha</v>
      </c>
      <c r="E108" t="s">
        <v>34</v>
      </c>
      <c r="F108">
        <v>5.3</v>
      </c>
      <c r="G108">
        <v>4.5999999999999996</v>
      </c>
      <c r="H108">
        <v>8.4</v>
      </c>
      <c r="I108">
        <v>393.26</v>
      </c>
      <c r="J108" s="4">
        <f t="shared" si="3"/>
        <v>74.2</v>
      </c>
    </row>
    <row r="109" spans="1:10" x14ac:dyDescent="0.3">
      <c r="A109" s="1">
        <v>45911</v>
      </c>
      <c r="B109" t="s">
        <v>15</v>
      </c>
      <c r="C109" t="s">
        <v>25</v>
      </c>
      <c r="D109" t="str">
        <f t="shared" si="2"/>
        <v>F008Prakash</v>
      </c>
      <c r="E109" t="s">
        <v>35</v>
      </c>
      <c r="F109">
        <v>14.26</v>
      </c>
      <c r="G109">
        <v>4.3</v>
      </c>
      <c r="H109">
        <v>8.1</v>
      </c>
      <c r="I109">
        <v>1006.76</v>
      </c>
      <c r="J109" s="4">
        <f t="shared" si="3"/>
        <v>70.600280504908838</v>
      </c>
    </row>
    <row r="110" spans="1:10" x14ac:dyDescent="0.3">
      <c r="A110" s="1">
        <v>45911</v>
      </c>
      <c r="B110" t="s">
        <v>16</v>
      </c>
      <c r="C110" t="s">
        <v>26</v>
      </c>
      <c r="D110" t="str">
        <f t="shared" si="2"/>
        <v>F009Meena</v>
      </c>
      <c r="E110" t="s">
        <v>36</v>
      </c>
      <c r="F110">
        <v>18.559999999999999</v>
      </c>
      <c r="G110">
        <v>3.7</v>
      </c>
      <c r="H110">
        <v>8.8000000000000007</v>
      </c>
      <c r="I110">
        <v>1297.3399999999999</v>
      </c>
      <c r="J110" s="4">
        <f t="shared" si="3"/>
        <v>69.899784482758619</v>
      </c>
    </row>
    <row r="111" spans="1:10" x14ac:dyDescent="0.3">
      <c r="A111" s="1">
        <v>45911</v>
      </c>
      <c r="B111" t="s">
        <v>17</v>
      </c>
      <c r="C111" t="s">
        <v>27</v>
      </c>
      <c r="D111" t="str">
        <f t="shared" si="2"/>
        <v>F010Ravi</v>
      </c>
      <c r="E111" t="s">
        <v>37</v>
      </c>
      <c r="F111">
        <v>12.95</v>
      </c>
      <c r="G111">
        <v>4.5999999999999996</v>
      </c>
      <c r="H111">
        <v>9.1</v>
      </c>
      <c r="I111">
        <v>1006.21</v>
      </c>
      <c r="J111" s="4">
        <f t="shared" si="3"/>
        <v>77.699613899613908</v>
      </c>
    </row>
    <row r="112" spans="1:10" x14ac:dyDescent="0.3">
      <c r="A112" s="1">
        <v>45912</v>
      </c>
      <c r="B112" t="s">
        <v>8</v>
      </c>
      <c r="C112" t="s">
        <v>18</v>
      </c>
      <c r="D112" t="str">
        <f t="shared" si="2"/>
        <v>F001Ramesh</v>
      </c>
      <c r="E112" t="s">
        <v>28</v>
      </c>
      <c r="F112">
        <v>11.58</v>
      </c>
      <c r="G112">
        <v>3.8</v>
      </c>
      <c r="H112">
        <v>8</v>
      </c>
      <c r="I112">
        <v>771.23</v>
      </c>
      <c r="J112" s="4">
        <f t="shared" si="3"/>
        <v>66.600172711571673</v>
      </c>
    </row>
    <row r="113" spans="1:10" x14ac:dyDescent="0.3">
      <c r="A113" s="1">
        <v>45912</v>
      </c>
      <c r="B113" t="s">
        <v>9</v>
      </c>
      <c r="C113" t="s">
        <v>19</v>
      </c>
      <c r="D113" t="str">
        <f t="shared" si="2"/>
        <v>F002Lakshmi</v>
      </c>
      <c r="E113" t="s">
        <v>29</v>
      </c>
      <c r="F113">
        <v>10.14</v>
      </c>
      <c r="G113">
        <v>4.4000000000000004</v>
      </c>
      <c r="H113">
        <v>9.1</v>
      </c>
      <c r="I113">
        <v>773.68</v>
      </c>
      <c r="J113" s="4">
        <f t="shared" si="3"/>
        <v>76.299802761341212</v>
      </c>
    </row>
    <row r="114" spans="1:10" x14ac:dyDescent="0.3">
      <c r="A114" s="1">
        <v>45912</v>
      </c>
      <c r="B114" t="s">
        <v>10</v>
      </c>
      <c r="C114" t="s">
        <v>20</v>
      </c>
      <c r="D114" t="str">
        <f t="shared" si="2"/>
        <v>F003Manjunath</v>
      </c>
      <c r="E114" t="s">
        <v>30</v>
      </c>
      <c r="F114">
        <v>19.96</v>
      </c>
      <c r="G114">
        <v>5</v>
      </c>
      <c r="H114">
        <v>8.4</v>
      </c>
      <c r="I114">
        <v>1536.92</v>
      </c>
      <c r="J114" s="4">
        <f t="shared" si="3"/>
        <v>77</v>
      </c>
    </row>
    <row r="115" spans="1:10" x14ac:dyDescent="0.3">
      <c r="A115" s="1">
        <v>45912</v>
      </c>
      <c r="B115" t="s">
        <v>11</v>
      </c>
      <c r="C115" t="s">
        <v>21</v>
      </c>
      <c r="D115" t="str">
        <f t="shared" si="2"/>
        <v>F004Suresh</v>
      </c>
      <c r="E115" t="s">
        <v>31</v>
      </c>
      <c r="F115">
        <v>18.34</v>
      </c>
      <c r="G115">
        <v>5</v>
      </c>
      <c r="H115">
        <v>9.4</v>
      </c>
      <c r="I115">
        <v>1503.88</v>
      </c>
      <c r="J115" s="4">
        <f t="shared" si="3"/>
        <v>82</v>
      </c>
    </row>
    <row r="116" spans="1:10" x14ac:dyDescent="0.3">
      <c r="A116" s="1">
        <v>45912</v>
      </c>
      <c r="B116" t="s">
        <v>12</v>
      </c>
      <c r="C116" t="s">
        <v>22</v>
      </c>
      <c r="D116" t="str">
        <f t="shared" si="2"/>
        <v>F005Geetha</v>
      </c>
      <c r="E116" t="s">
        <v>32</v>
      </c>
      <c r="F116">
        <v>18.62</v>
      </c>
      <c r="G116">
        <v>3.5</v>
      </c>
      <c r="H116">
        <v>8.8000000000000007</v>
      </c>
      <c r="I116">
        <v>1275.47</v>
      </c>
      <c r="J116" s="4">
        <f t="shared" si="3"/>
        <v>68.5</v>
      </c>
    </row>
    <row r="117" spans="1:10" x14ac:dyDescent="0.3">
      <c r="A117" s="1">
        <v>45912</v>
      </c>
      <c r="B117" t="s">
        <v>13</v>
      </c>
      <c r="C117" t="s">
        <v>23</v>
      </c>
      <c r="D117" t="str">
        <f t="shared" si="2"/>
        <v>F006Anand</v>
      </c>
      <c r="E117" t="s">
        <v>33</v>
      </c>
      <c r="F117">
        <v>18.36</v>
      </c>
      <c r="G117">
        <v>4.3</v>
      </c>
      <c r="H117">
        <v>8.4</v>
      </c>
      <c r="I117">
        <v>1323.76</v>
      </c>
      <c r="J117" s="4">
        <f t="shared" si="3"/>
        <v>72.100217864923749</v>
      </c>
    </row>
    <row r="118" spans="1:10" x14ac:dyDescent="0.3">
      <c r="A118" s="1">
        <v>45912</v>
      </c>
      <c r="B118" t="s">
        <v>14</v>
      </c>
      <c r="C118" t="s">
        <v>24</v>
      </c>
      <c r="D118" t="str">
        <f t="shared" si="2"/>
        <v>F007Savitha</v>
      </c>
      <c r="E118" t="s">
        <v>34</v>
      </c>
      <c r="F118">
        <v>8.8699999999999992</v>
      </c>
      <c r="G118">
        <v>4.3</v>
      </c>
      <c r="H118">
        <v>9.1</v>
      </c>
      <c r="I118">
        <v>670.57</v>
      </c>
      <c r="J118" s="4">
        <f t="shared" si="3"/>
        <v>75.599774520856826</v>
      </c>
    </row>
    <row r="119" spans="1:10" x14ac:dyDescent="0.3">
      <c r="A119" s="1">
        <v>45912</v>
      </c>
      <c r="B119" t="s">
        <v>15</v>
      </c>
      <c r="C119" t="s">
        <v>25</v>
      </c>
      <c r="D119" t="str">
        <f t="shared" si="2"/>
        <v>F008Prakash</v>
      </c>
      <c r="E119" t="s">
        <v>35</v>
      </c>
      <c r="F119">
        <v>13.81</v>
      </c>
      <c r="G119">
        <v>4.5</v>
      </c>
      <c r="H119">
        <v>8.6999999999999993</v>
      </c>
      <c r="I119">
        <v>1035.75</v>
      </c>
      <c r="J119" s="4">
        <f t="shared" si="3"/>
        <v>75</v>
      </c>
    </row>
    <row r="120" spans="1:10" x14ac:dyDescent="0.3">
      <c r="A120" s="1">
        <v>45912</v>
      </c>
      <c r="B120" t="s">
        <v>16</v>
      </c>
      <c r="C120" t="s">
        <v>26</v>
      </c>
      <c r="D120" t="str">
        <f t="shared" si="2"/>
        <v>F009Meena</v>
      </c>
      <c r="E120" t="s">
        <v>36</v>
      </c>
      <c r="F120">
        <v>17.71</v>
      </c>
      <c r="G120">
        <v>4.0999999999999996</v>
      </c>
      <c r="H120">
        <v>9.1</v>
      </c>
      <c r="I120">
        <v>1314.08</v>
      </c>
      <c r="J120" s="4">
        <f t="shared" si="3"/>
        <v>74.199887069452274</v>
      </c>
    </row>
    <row r="121" spans="1:10" x14ac:dyDescent="0.3">
      <c r="A121" s="1">
        <v>45912</v>
      </c>
      <c r="B121" t="s">
        <v>17</v>
      </c>
      <c r="C121" t="s">
        <v>27</v>
      </c>
      <c r="D121" t="str">
        <f t="shared" si="2"/>
        <v>F010Ravi</v>
      </c>
      <c r="E121" t="s">
        <v>37</v>
      </c>
      <c r="F121">
        <v>8.0299999999999994</v>
      </c>
      <c r="G121">
        <v>4.0999999999999996</v>
      </c>
      <c r="H121">
        <v>8.6</v>
      </c>
      <c r="I121">
        <v>575.75</v>
      </c>
      <c r="J121" s="4">
        <f t="shared" si="3"/>
        <v>71.699875466998762</v>
      </c>
    </row>
    <row r="122" spans="1:10" x14ac:dyDescent="0.3">
      <c r="A122" s="1">
        <v>45913</v>
      </c>
      <c r="B122" t="s">
        <v>8</v>
      </c>
      <c r="C122" t="s">
        <v>18</v>
      </c>
      <c r="D122" t="str">
        <f t="shared" si="2"/>
        <v>F001Ramesh</v>
      </c>
      <c r="E122" t="s">
        <v>28</v>
      </c>
      <c r="F122">
        <v>7.59</v>
      </c>
      <c r="G122">
        <v>4.9000000000000004</v>
      </c>
      <c r="H122">
        <v>9.4</v>
      </c>
      <c r="I122">
        <v>617.07000000000005</v>
      </c>
      <c r="J122" s="4">
        <f t="shared" si="3"/>
        <v>81.300395256917</v>
      </c>
    </row>
    <row r="123" spans="1:10" x14ac:dyDescent="0.3">
      <c r="A123" s="1">
        <v>45913</v>
      </c>
      <c r="B123" t="s">
        <v>9</v>
      </c>
      <c r="C123" t="s">
        <v>19</v>
      </c>
      <c r="D123" t="str">
        <f t="shared" si="2"/>
        <v>F002Lakshmi</v>
      </c>
      <c r="E123" t="s">
        <v>29</v>
      </c>
      <c r="F123">
        <v>5.28</v>
      </c>
      <c r="G123">
        <v>4.0999999999999996</v>
      </c>
      <c r="H123">
        <v>9.4</v>
      </c>
      <c r="I123">
        <v>399.7</v>
      </c>
      <c r="J123" s="4">
        <f t="shared" si="3"/>
        <v>75.700757575757564</v>
      </c>
    </row>
    <row r="124" spans="1:10" x14ac:dyDescent="0.3">
      <c r="A124" s="1">
        <v>45913</v>
      </c>
      <c r="B124" t="s">
        <v>10</v>
      </c>
      <c r="C124" t="s">
        <v>20</v>
      </c>
      <c r="D124" t="str">
        <f t="shared" si="2"/>
        <v>F003Manjunath</v>
      </c>
      <c r="E124" t="s">
        <v>30</v>
      </c>
      <c r="F124">
        <v>8.1300000000000008</v>
      </c>
      <c r="G124">
        <v>3.5</v>
      </c>
      <c r="H124">
        <v>8.1999999999999993</v>
      </c>
      <c r="I124">
        <v>532.52</v>
      </c>
      <c r="J124" s="4">
        <f t="shared" si="3"/>
        <v>65.500615006150056</v>
      </c>
    </row>
    <row r="125" spans="1:10" x14ac:dyDescent="0.3">
      <c r="A125" s="1">
        <v>45913</v>
      </c>
      <c r="B125" t="s">
        <v>11</v>
      </c>
      <c r="C125" t="s">
        <v>21</v>
      </c>
      <c r="D125" t="str">
        <f t="shared" si="2"/>
        <v>F004Suresh</v>
      </c>
      <c r="E125" t="s">
        <v>31</v>
      </c>
      <c r="F125">
        <v>19.52</v>
      </c>
      <c r="G125">
        <v>4.5999999999999996</v>
      </c>
      <c r="H125">
        <v>8.8000000000000007</v>
      </c>
      <c r="I125">
        <v>1487.42</v>
      </c>
      <c r="J125" s="4">
        <f t="shared" si="3"/>
        <v>76.199795081967224</v>
      </c>
    </row>
    <row r="126" spans="1:10" x14ac:dyDescent="0.3">
      <c r="A126" s="1">
        <v>45913</v>
      </c>
      <c r="B126" t="s">
        <v>12</v>
      </c>
      <c r="C126" t="s">
        <v>22</v>
      </c>
      <c r="D126" t="str">
        <f t="shared" si="2"/>
        <v>F005Geetha</v>
      </c>
      <c r="E126" t="s">
        <v>32</v>
      </c>
      <c r="F126">
        <v>19.329999999999998</v>
      </c>
      <c r="G126">
        <v>4.8</v>
      </c>
      <c r="H126">
        <v>8.6999999999999993</v>
      </c>
      <c r="I126">
        <v>1490.34</v>
      </c>
      <c r="J126" s="4">
        <f t="shared" si="3"/>
        <v>77.099844800827725</v>
      </c>
    </row>
    <row r="127" spans="1:10" x14ac:dyDescent="0.3">
      <c r="A127" s="1">
        <v>45913</v>
      </c>
      <c r="B127" t="s">
        <v>13</v>
      </c>
      <c r="C127" t="s">
        <v>23</v>
      </c>
      <c r="D127" t="str">
        <f t="shared" si="2"/>
        <v>F006Anand</v>
      </c>
      <c r="E127" t="s">
        <v>33</v>
      </c>
      <c r="F127">
        <v>16.88</v>
      </c>
      <c r="G127">
        <v>4.3</v>
      </c>
      <c r="H127">
        <v>8.6999999999999993</v>
      </c>
      <c r="I127">
        <v>1242.3699999999999</v>
      </c>
      <c r="J127" s="4">
        <f t="shared" si="3"/>
        <v>73.600118483412317</v>
      </c>
    </row>
    <row r="128" spans="1:10" x14ac:dyDescent="0.3">
      <c r="A128" s="1">
        <v>45913</v>
      </c>
      <c r="B128" t="s">
        <v>14</v>
      </c>
      <c r="C128" t="s">
        <v>24</v>
      </c>
      <c r="D128" t="str">
        <f t="shared" si="2"/>
        <v>F007Savitha</v>
      </c>
      <c r="E128" t="s">
        <v>34</v>
      </c>
      <c r="F128">
        <v>8.18</v>
      </c>
      <c r="G128">
        <v>4.0999999999999996</v>
      </c>
      <c r="H128">
        <v>8.8000000000000007</v>
      </c>
      <c r="I128">
        <v>594.69000000000005</v>
      </c>
      <c r="J128" s="4">
        <f t="shared" si="3"/>
        <v>72.700488997555027</v>
      </c>
    </row>
    <row r="129" spans="1:10" x14ac:dyDescent="0.3">
      <c r="A129" s="1">
        <v>45913</v>
      </c>
      <c r="B129" t="s">
        <v>15</v>
      </c>
      <c r="C129" t="s">
        <v>25</v>
      </c>
      <c r="D129" t="str">
        <f t="shared" si="2"/>
        <v>F008Prakash</v>
      </c>
      <c r="E129" t="s">
        <v>35</v>
      </c>
      <c r="F129">
        <v>10.31</v>
      </c>
      <c r="G129">
        <v>3.9</v>
      </c>
      <c r="H129">
        <v>9.3000000000000007</v>
      </c>
      <c r="I129">
        <v>760.88</v>
      </c>
      <c r="J129" s="4">
        <f t="shared" si="3"/>
        <v>73.80019398642095</v>
      </c>
    </row>
    <row r="130" spans="1:10" x14ac:dyDescent="0.3">
      <c r="A130" s="1">
        <v>45913</v>
      </c>
      <c r="B130" t="s">
        <v>16</v>
      </c>
      <c r="C130" t="s">
        <v>26</v>
      </c>
      <c r="D130" t="str">
        <f t="shared" ref="D130:D193" si="4">_xlfn.CONCAT(B130,C130)</f>
        <v>F009Meena</v>
      </c>
      <c r="E130" t="s">
        <v>36</v>
      </c>
      <c r="F130">
        <v>11.71</v>
      </c>
      <c r="G130">
        <v>3.6</v>
      </c>
      <c r="H130">
        <v>8.1999999999999993</v>
      </c>
      <c r="I130">
        <v>775.2</v>
      </c>
      <c r="J130" s="4">
        <f t="shared" si="3"/>
        <v>66.199829205807006</v>
      </c>
    </row>
    <row r="131" spans="1:10" x14ac:dyDescent="0.3">
      <c r="A131" s="1">
        <v>45913</v>
      </c>
      <c r="B131" t="s">
        <v>17</v>
      </c>
      <c r="C131" t="s">
        <v>27</v>
      </c>
      <c r="D131" t="str">
        <f t="shared" si="4"/>
        <v>F010Ravi</v>
      </c>
      <c r="E131" t="s">
        <v>37</v>
      </c>
      <c r="F131">
        <v>12.98</v>
      </c>
      <c r="G131">
        <v>4.7</v>
      </c>
      <c r="H131">
        <v>8.1</v>
      </c>
      <c r="I131">
        <v>952.73</v>
      </c>
      <c r="J131" s="4">
        <f t="shared" ref="J131:J194" si="5">I131/F131</f>
        <v>73.399845916795073</v>
      </c>
    </row>
    <row r="132" spans="1:10" x14ac:dyDescent="0.3">
      <c r="A132" s="1">
        <v>45914</v>
      </c>
      <c r="B132" t="s">
        <v>8</v>
      </c>
      <c r="C132" t="s">
        <v>18</v>
      </c>
      <c r="D132" t="str">
        <f t="shared" si="4"/>
        <v>F001Ramesh</v>
      </c>
      <c r="E132" t="s">
        <v>28</v>
      </c>
      <c r="F132">
        <v>5.81</v>
      </c>
      <c r="G132">
        <v>3.5</v>
      </c>
      <c r="H132">
        <v>8.5</v>
      </c>
      <c r="I132">
        <v>389.27</v>
      </c>
      <c r="J132" s="4">
        <f t="shared" si="5"/>
        <v>67</v>
      </c>
    </row>
    <row r="133" spans="1:10" x14ac:dyDescent="0.3">
      <c r="A133" s="1">
        <v>45914</v>
      </c>
      <c r="B133" t="s">
        <v>9</v>
      </c>
      <c r="C133" t="s">
        <v>19</v>
      </c>
      <c r="D133" t="str">
        <f t="shared" si="4"/>
        <v>F002Lakshmi</v>
      </c>
      <c r="E133" t="s">
        <v>29</v>
      </c>
      <c r="F133">
        <v>13.55</v>
      </c>
      <c r="G133">
        <v>4.0999999999999996</v>
      </c>
      <c r="H133">
        <v>9.5</v>
      </c>
      <c r="I133">
        <v>1032.51</v>
      </c>
      <c r="J133" s="4">
        <f t="shared" si="5"/>
        <v>76.199999999999989</v>
      </c>
    </row>
    <row r="134" spans="1:10" x14ac:dyDescent="0.3">
      <c r="A134" s="1">
        <v>45914</v>
      </c>
      <c r="B134" t="s">
        <v>10</v>
      </c>
      <c r="C134" t="s">
        <v>20</v>
      </c>
      <c r="D134" t="str">
        <f t="shared" si="4"/>
        <v>F003Manjunath</v>
      </c>
      <c r="E134" t="s">
        <v>30</v>
      </c>
      <c r="F134">
        <v>19.27</v>
      </c>
      <c r="G134">
        <v>3.5</v>
      </c>
      <c r="H134">
        <v>8.1</v>
      </c>
      <c r="I134">
        <v>1252.55</v>
      </c>
      <c r="J134" s="4">
        <f t="shared" si="5"/>
        <v>65</v>
      </c>
    </row>
    <row r="135" spans="1:10" x14ac:dyDescent="0.3">
      <c r="A135" s="1">
        <v>45914</v>
      </c>
      <c r="B135" t="s">
        <v>11</v>
      </c>
      <c r="C135" t="s">
        <v>21</v>
      </c>
      <c r="D135" t="str">
        <f t="shared" si="4"/>
        <v>F004Suresh</v>
      </c>
      <c r="E135" t="s">
        <v>31</v>
      </c>
      <c r="F135">
        <v>13.66</v>
      </c>
      <c r="G135">
        <v>3.9</v>
      </c>
      <c r="H135">
        <v>8.5</v>
      </c>
      <c r="I135">
        <v>953.47</v>
      </c>
      <c r="J135" s="4">
        <f t="shared" si="5"/>
        <v>69.800146412884331</v>
      </c>
    </row>
    <row r="136" spans="1:10" x14ac:dyDescent="0.3">
      <c r="A136" s="1">
        <v>45914</v>
      </c>
      <c r="B136" t="s">
        <v>12</v>
      </c>
      <c r="C136" t="s">
        <v>22</v>
      </c>
      <c r="D136" t="str">
        <f t="shared" si="4"/>
        <v>F005Geetha</v>
      </c>
      <c r="E136" t="s">
        <v>32</v>
      </c>
      <c r="F136">
        <v>16.28</v>
      </c>
      <c r="G136">
        <v>4.5999999999999996</v>
      </c>
      <c r="H136">
        <v>8.6</v>
      </c>
      <c r="I136">
        <v>1224.26</v>
      </c>
      <c r="J136" s="4">
        <f t="shared" si="5"/>
        <v>75.200245700245688</v>
      </c>
    </row>
    <row r="137" spans="1:10" x14ac:dyDescent="0.3">
      <c r="A137" s="1">
        <v>45914</v>
      </c>
      <c r="B137" t="s">
        <v>13</v>
      </c>
      <c r="C137" t="s">
        <v>23</v>
      </c>
      <c r="D137" t="str">
        <f t="shared" si="4"/>
        <v>F006Anand</v>
      </c>
      <c r="E137" t="s">
        <v>33</v>
      </c>
      <c r="F137">
        <v>6.57</v>
      </c>
      <c r="G137">
        <v>3.9</v>
      </c>
      <c r="H137">
        <v>8.6</v>
      </c>
      <c r="I137">
        <v>461.87</v>
      </c>
      <c r="J137" s="4">
        <f t="shared" si="5"/>
        <v>70.299847792998477</v>
      </c>
    </row>
    <row r="138" spans="1:10" x14ac:dyDescent="0.3">
      <c r="A138" s="1">
        <v>45914</v>
      </c>
      <c r="B138" t="s">
        <v>14</v>
      </c>
      <c r="C138" t="s">
        <v>24</v>
      </c>
      <c r="D138" t="str">
        <f t="shared" si="4"/>
        <v>F007Savitha</v>
      </c>
      <c r="E138" t="s">
        <v>34</v>
      </c>
      <c r="F138">
        <v>18.489999999999998</v>
      </c>
      <c r="G138">
        <v>4.9000000000000004</v>
      </c>
      <c r="H138">
        <v>8.6</v>
      </c>
      <c r="I138">
        <v>1429.28</v>
      </c>
      <c r="J138" s="4">
        <f t="shared" si="5"/>
        <v>77.300162249864798</v>
      </c>
    </row>
    <row r="139" spans="1:10" x14ac:dyDescent="0.3">
      <c r="A139" s="1">
        <v>45914</v>
      </c>
      <c r="B139" t="s">
        <v>15</v>
      </c>
      <c r="C139" t="s">
        <v>25</v>
      </c>
      <c r="D139" t="str">
        <f t="shared" si="4"/>
        <v>F008Prakash</v>
      </c>
      <c r="E139" t="s">
        <v>35</v>
      </c>
      <c r="F139">
        <v>16.46</v>
      </c>
      <c r="G139">
        <v>4.2</v>
      </c>
      <c r="H139">
        <v>8.5</v>
      </c>
      <c r="I139">
        <v>1183.47</v>
      </c>
      <c r="J139" s="4">
        <f t="shared" si="5"/>
        <v>71.899756986634259</v>
      </c>
    </row>
    <row r="140" spans="1:10" x14ac:dyDescent="0.3">
      <c r="A140" s="1">
        <v>45914</v>
      </c>
      <c r="B140" t="s">
        <v>16</v>
      </c>
      <c r="C140" t="s">
        <v>26</v>
      </c>
      <c r="D140" t="str">
        <f t="shared" si="4"/>
        <v>F009Meena</v>
      </c>
      <c r="E140" t="s">
        <v>36</v>
      </c>
      <c r="F140">
        <v>18.98</v>
      </c>
      <c r="G140">
        <v>4</v>
      </c>
      <c r="H140">
        <v>8.1999999999999993</v>
      </c>
      <c r="I140">
        <v>1309.6199999999999</v>
      </c>
      <c r="J140" s="4">
        <f t="shared" si="5"/>
        <v>68.999999999999986</v>
      </c>
    </row>
    <row r="141" spans="1:10" x14ac:dyDescent="0.3">
      <c r="A141" s="1">
        <v>45914</v>
      </c>
      <c r="B141" t="s">
        <v>17</v>
      </c>
      <c r="C141" t="s">
        <v>27</v>
      </c>
      <c r="D141" t="str">
        <f t="shared" si="4"/>
        <v>F010Ravi</v>
      </c>
      <c r="E141" t="s">
        <v>37</v>
      </c>
      <c r="F141">
        <v>7.99</v>
      </c>
      <c r="G141">
        <v>3.8</v>
      </c>
      <c r="H141">
        <v>8.9</v>
      </c>
      <c r="I141">
        <v>568.09</v>
      </c>
      <c r="J141" s="4">
        <f t="shared" si="5"/>
        <v>71.100125156445557</v>
      </c>
    </row>
    <row r="142" spans="1:10" x14ac:dyDescent="0.3">
      <c r="A142" s="1">
        <v>45915</v>
      </c>
      <c r="B142" t="s">
        <v>8</v>
      </c>
      <c r="C142" t="s">
        <v>18</v>
      </c>
      <c r="D142" t="str">
        <f t="shared" si="4"/>
        <v>F001Ramesh</v>
      </c>
      <c r="E142" t="s">
        <v>28</v>
      </c>
      <c r="F142">
        <v>10.29</v>
      </c>
      <c r="G142">
        <v>3.5</v>
      </c>
      <c r="H142">
        <v>9</v>
      </c>
      <c r="I142">
        <v>715.15</v>
      </c>
      <c r="J142" s="4">
        <f t="shared" si="5"/>
        <v>69.499514091350832</v>
      </c>
    </row>
    <row r="143" spans="1:10" x14ac:dyDescent="0.3">
      <c r="A143" s="1">
        <v>45915</v>
      </c>
      <c r="B143" t="s">
        <v>9</v>
      </c>
      <c r="C143" t="s">
        <v>19</v>
      </c>
      <c r="D143" t="str">
        <f t="shared" si="4"/>
        <v>F002Lakshmi</v>
      </c>
      <c r="E143" t="s">
        <v>29</v>
      </c>
      <c r="F143">
        <v>10.48</v>
      </c>
      <c r="G143">
        <v>3.8</v>
      </c>
      <c r="H143">
        <v>8.9</v>
      </c>
      <c r="I143">
        <v>745.13</v>
      </c>
      <c r="J143" s="4">
        <f t="shared" si="5"/>
        <v>71.100190839694648</v>
      </c>
    </row>
    <row r="144" spans="1:10" x14ac:dyDescent="0.3">
      <c r="A144" s="1">
        <v>45915</v>
      </c>
      <c r="B144" t="s">
        <v>10</v>
      </c>
      <c r="C144" t="s">
        <v>20</v>
      </c>
      <c r="D144" t="str">
        <f t="shared" si="4"/>
        <v>F003Manjunath</v>
      </c>
      <c r="E144" t="s">
        <v>30</v>
      </c>
      <c r="F144">
        <v>8.77</v>
      </c>
      <c r="G144">
        <v>4</v>
      </c>
      <c r="H144">
        <v>9.1999999999999993</v>
      </c>
      <c r="I144">
        <v>648.98</v>
      </c>
      <c r="J144" s="4">
        <f t="shared" si="5"/>
        <v>74</v>
      </c>
    </row>
    <row r="145" spans="1:10" x14ac:dyDescent="0.3">
      <c r="A145" s="1">
        <v>45915</v>
      </c>
      <c r="B145" t="s">
        <v>11</v>
      </c>
      <c r="C145" t="s">
        <v>21</v>
      </c>
      <c r="D145" t="str">
        <f t="shared" si="4"/>
        <v>F004Suresh</v>
      </c>
      <c r="E145" t="s">
        <v>31</v>
      </c>
      <c r="F145">
        <v>10.18</v>
      </c>
      <c r="G145">
        <v>3.8</v>
      </c>
      <c r="H145">
        <v>9.1</v>
      </c>
      <c r="I145">
        <v>733.98</v>
      </c>
      <c r="J145" s="4">
        <f t="shared" si="5"/>
        <v>72.100196463654228</v>
      </c>
    </row>
    <row r="146" spans="1:10" x14ac:dyDescent="0.3">
      <c r="A146" s="1">
        <v>45915</v>
      </c>
      <c r="B146" t="s">
        <v>12</v>
      </c>
      <c r="C146" t="s">
        <v>22</v>
      </c>
      <c r="D146" t="str">
        <f t="shared" si="4"/>
        <v>F005Geetha</v>
      </c>
      <c r="E146" t="s">
        <v>32</v>
      </c>
      <c r="F146">
        <v>5.49</v>
      </c>
      <c r="G146">
        <v>4.5999999999999996</v>
      </c>
      <c r="H146">
        <v>9.3000000000000007</v>
      </c>
      <c r="I146">
        <v>432.06</v>
      </c>
      <c r="J146" s="4">
        <f t="shared" si="5"/>
        <v>78.699453551912569</v>
      </c>
    </row>
    <row r="147" spans="1:10" x14ac:dyDescent="0.3">
      <c r="A147" s="1">
        <v>45915</v>
      </c>
      <c r="B147" t="s">
        <v>13</v>
      </c>
      <c r="C147" t="s">
        <v>23</v>
      </c>
      <c r="D147" t="str">
        <f t="shared" si="4"/>
        <v>F006Anand</v>
      </c>
      <c r="E147" t="s">
        <v>33</v>
      </c>
      <c r="F147">
        <v>16.55</v>
      </c>
      <c r="G147">
        <v>4.9000000000000004</v>
      </c>
      <c r="H147">
        <v>8.6</v>
      </c>
      <c r="I147">
        <v>1279.32</v>
      </c>
      <c r="J147" s="4">
        <f t="shared" si="5"/>
        <v>77.300302114803614</v>
      </c>
    </row>
    <row r="148" spans="1:10" x14ac:dyDescent="0.3">
      <c r="A148" s="1">
        <v>45915</v>
      </c>
      <c r="B148" t="s">
        <v>14</v>
      </c>
      <c r="C148" t="s">
        <v>24</v>
      </c>
      <c r="D148" t="str">
        <f t="shared" si="4"/>
        <v>F007Savitha</v>
      </c>
      <c r="E148" t="s">
        <v>34</v>
      </c>
      <c r="F148">
        <v>14.4</v>
      </c>
      <c r="G148">
        <v>3.7</v>
      </c>
      <c r="H148">
        <v>8.5</v>
      </c>
      <c r="I148">
        <v>984.96</v>
      </c>
      <c r="J148" s="4">
        <f t="shared" si="5"/>
        <v>68.400000000000006</v>
      </c>
    </row>
    <row r="149" spans="1:10" x14ac:dyDescent="0.3">
      <c r="A149" s="1">
        <v>45915</v>
      </c>
      <c r="B149" t="s">
        <v>15</v>
      </c>
      <c r="C149" t="s">
        <v>25</v>
      </c>
      <c r="D149" t="str">
        <f t="shared" si="4"/>
        <v>F008Prakash</v>
      </c>
      <c r="E149" t="s">
        <v>35</v>
      </c>
      <c r="F149">
        <v>6.68</v>
      </c>
      <c r="G149">
        <v>4.3</v>
      </c>
      <c r="H149">
        <v>8.6999999999999993</v>
      </c>
      <c r="I149">
        <v>491.65</v>
      </c>
      <c r="J149" s="4">
        <f t="shared" si="5"/>
        <v>73.600299401197603</v>
      </c>
    </row>
    <row r="150" spans="1:10" x14ac:dyDescent="0.3">
      <c r="A150" s="1">
        <v>45915</v>
      </c>
      <c r="B150" t="s">
        <v>16</v>
      </c>
      <c r="C150" t="s">
        <v>26</v>
      </c>
      <c r="D150" t="str">
        <f t="shared" si="4"/>
        <v>F009Meena</v>
      </c>
      <c r="E150" t="s">
        <v>36</v>
      </c>
      <c r="F150">
        <v>14.91</v>
      </c>
      <c r="G150">
        <v>4.3</v>
      </c>
      <c r="H150">
        <v>8.8000000000000007</v>
      </c>
      <c r="I150">
        <v>1104.83</v>
      </c>
      <c r="J150" s="4">
        <f t="shared" si="5"/>
        <v>74.09993293091884</v>
      </c>
    </row>
    <row r="151" spans="1:10" x14ac:dyDescent="0.3">
      <c r="A151" s="1">
        <v>45915</v>
      </c>
      <c r="B151" t="s">
        <v>17</v>
      </c>
      <c r="C151" t="s">
        <v>27</v>
      </c>
      <c r="D151" t="str">
        <f t="shared" si="4"/>
        <v>F010Ravi</v>
      </c>
      <c r="E151" t="s">
        <v>37</v>
      </c>
      <c r="F151">
        <v>11.2</v>
      </c>
      <c r="G151">
        <v>4.3</v>
      </c>
      <c r="H151">
        <v>8.4</v>
      </c>
      <c r="I151">
        <v>807.52</v>
      </c>
      <c r="J151" s="4">
        <f t="shared" si="5"/>
        <v>72.100000000000009</v>
      </c>
    </row>
    <row r="152" spans="1:10" x14ac:dyDescent="0.3">
      <c r="A152" s="1">
        <v>45916</v>
      </c>
      <c r="B152" t="s">
        <v>8</v>
      </c>
      <c r="C152" t="s">
        <v>18</v>
      </c>
      <c r="D152" t="str">
        <f t="shared" si="4"/>
        <v>F001Ramesh</v>
      </c>
      <c r="E152" t="s">
        <v>28</v>
      </c>
      <c r="F152">
        <v>8.9700000000000006</v>
      </c>
      <c r="G152">
        <v>4.7</v>
      </c>
      <c r="H152">
        <v>8.4</v>
      </c>
      <c r="I152">
        <v>671.85</v>
      </c>
      <c r="J152" s="4">
        <f t="shared" si="5"/>
        <v>74.899665551839462</v>
      </c>
    </row>
    <row r="153" spans="1:10" x14ac:dyDescent="0.3">
      <c r="A153" s="1">
        <v>45916</v>
      </c>
      <c r="B153" t="s">
        <v>9</v>
      </c>
      <c r="C153" t="s">
        <v>19</v>
      </c>
      <c r="D153" t="str">
        <f t="shared" si="4"/>
        <v>F002Lakshmi</v>
      </c>
      <c r="E153" t="s">
        <v>29</v>
      </c>
      <c r="F153">
        <v>9.83</v>
      </c>
      <c r="G153">
        <v>4.5999999999999996</v>
      </c>
      <c r="H153">
        <v>8.6</v>
      </c>
      <c r="I153">
        <v>739.22</v>
      </c>
      <c r="J153" s="4">
        <f t="shared" si="5"/>
        <v>75.200406917599182</v>
      </c>
    </row>
    <row r="154" spans="1:10" x14ac:dyDescent="0.3">
      <c r="A154" s="1">
        <v>45916</v>
      </c>
      <c r="B154" t="s">
        <v>10</v>
      </c>
      <c r="C154" t="s">
        <v>20</v>
      </c>
      <c r="D154" t="str">
        <f t="shared" si="4"/>
        <v>F003Manjunath</v>
      </c>
      <c r="E154" t="s">
        <v>30</v>
      </c>
      <c r="F154">
        <v>15.6</v>
      </c>
      <c r="G154">
        <v>3.7</v>
      </c>
      <c r="H154">
        <v>9.1</v>
      </c>
      <c r="I154">
        <v>1113.8399999999999</v>
      </c>
      <c r="J154" s="4">
        <f t="shared" si="5"/>
        <v>71.399999999999991</v>
      </c>
    </row>
    <row r="155" spans="1:10" x14ac:dyDescent="0.3">
      <c r="A155" s="1">
        <v>45916</v>
      </c>
      <c r="B155" t="s">
        <v>11</v>
      </c>
      <c r="C155" t="s">
        <v>21</v>
      </c>
      <c r="D155" t="str">
        <f t="shared" si="4"/>
        <v>F004Suresh</v>
      </c>
      <c r="E155" t="s">
        <v>31</v>
      </c>
      <c r="F155">
        <v>8.3800000000000008</v>
      </c>
      <c r="G155">
        <v>4.4000000000000004</v>
      </c>
      <c r="H155">
        <v>8.9</v>
      </c>
      <c r="I155">
        <v>631.01</v>
      </c>
      <c r="J155" s="4">
        <f t="shared" si="5"/>
        <v>75.299522673031021</v>
      </c>
    </row>
    <row r="156" spans="1:10" x14ac:dyDescent="0.3">
      <c r="A156" s="1">
        <v>45916</v>
      </c>
      <c r="B156" t="s">
        <v>12</v>
      </c>
      <c r="C156" t="s">
        <v>22</v>
      </c>
      <c r="D156" t="str">
        <f t="shared" si="4"/>
        <v>F005Geetha</v>
      </c>
      <c r="E156" t="s">
        <v>32</v>
      </c>
      <c r="F156">
        <v>8.64</v>
      </c>
      <c r="G156">
        <v>4.0999999999999996</v>
      </c>
      <c r="H156">
        <v>9.4</v>
      </c>
      <c r="I156">
        <v>654.04999999999995</v>
      </c>
      <c r="J156" s="4">
        <f t="shared" si="5"/>
        <v>75.700231481481467</v>
      </c>
    </row>
    <row r="157" spans="1:10" x14ac:dyDescent="0.3">
      <c r="A157" s="1">
        <v>45916</v>
      </c>
      <c r="B157" t="s">
        <v>13</v>
      </c>
      <c r="C157" t="s">
        <v>23</v>
      </c>
      <c r="D157" t="str">
        <f t="shared" si="4"/>
        <v>F006Anand</v>
      </c>
      <c r="E157" t="s">
        <v>33</v>
      </c>
      <c r="F157">
        <v>14.33</v>
      </c>
      <c r="G157">
        <v>4.7</v>
      </c>
      <c r="H157">
        <v>8.4</v>
      </c>
      <c r="I157">
        <v>1073.32</v>
      </c>
      <c r="J157" s="4">
        <f t="shared" si="5"/>
        <v>74.900209351011853</v>
      </c>
    </row>
    <row r="158" spans="1:10" x14ac:dyDescent="0.3">
      <c r="A158" s="1">
        <v>45916</v>
      </c>
      <c r="B158" t="s">
        <v>14</v>
      </c>
      <c r="C158" t="s">
        <v>24</v>
      </c>
      <c r="D158" t="str">
        <f t="shared" si="4"/>
        <v>F007Savitha</v>
      </c>
      <c r="E158" t="s">
        <v>34</v>
      </c>
      <c r="F158">
        <v>16.25</v>
      </c>
      <c r="G158">
        <v>4.9000000000000004</v>
      </c>
      <c r="H158">
        <v>9.1999999999999993</v>
      </c>
      <c r="I158">
        <v>1304.8800000000001</v>
      </c>
      <c r="J158" s="4">
        <f t="shared" si="5"/>
        <v>80.300307692307697</v>
      </c>
    </row>
    <row r="159" spans="1:10" x14ac:dyDescent="0.3">
      <c r="A159" s="1">
        <v>45916</v>
      </c>
      <c r="B159" t="s">
        <v>15</v>
      </c>
      <c r="C159" t="s">
        <v>25</v>
      </c>
      <c r="D159" t="str">
        <f t="shared" si="4"/>
        <v>F008Prakash</v>
      </c>
      <c r="E159" t="s">
        <v>35</v>
      </c>
      <c r="F159">
        <v>17.82</v>
      </c>
      <c r="G159">
        <v>4.5</v>
      </c>
      <c r="H159">
        <v>8.6</v>
      </c>
      <c r="I159">
        <v>1327.59</v>
      </c>
      <c r="J159" s="4">
        <f t="shared" si="5"/>
        <v>74.5</v>
      </c>
    </row>
    <row r="160" spans="1:10" x14ac:dyDescent="0.3">
      <c r="A160" s="1">
        <v>45916</v>
      </c>
      <c r="B160" t="s">
        <v>16</v>
      </c>
      <c r="C160" t="s">
        <v>26</v>
      </c>
      <c r="D160" t="str">
        <f t="shared" si="4"/>
        <v>F009Meena</v>
      </c>
      <c r="E160" t="s">
        <v>36</v>
      </c>
      <c r="F160">
        <v>19.32</v>
      </c>
      <c r="G160">
        <v>4.5999999999999996</v>
      </c>
      <c r="H160">
        <v>8.5</v>
      </c>
      <c r="I160">
        <v>1443.2</v>
      </c>
      <c r="J160" s="4">
        <f t="shared" si="5"/>
        <v>74.699792960662521</v>
      </c>
    </row>
    <row r="161" spans="1:10" x14ac:dyDescent="0.3">
      <c r="A161" s="1">
        <v>45916</v>
      </c>
      <c r="B161" t="s">
        <v>17</v>
      </c>
      <c r="C161" t="s">
        <v>27</v>
      </c>
      <c r="D161" t="str">
        <f t="shared" si="4"/>
        <v>F010Ravi</v>
      </c>
      <c r="E161" t="s">
        <v>37</v>
      </c>
      <c r="F161">
        <v>13.61</v>
      </c>
      <c r="G161">
        <v>4.9000000000000004</v>
      </c>
      <c r="H161">
        <v>8.4</v>
      </c>
      <c r="I161">
        <v>1038.44</v>
      </c>
      <c r="J161" s="4">
        <f t="shared" si="5"/>
        <v>76.29977957384277</v>
      </c>
    </row>
    <row r="162" spans="1:10" x14ac:dyDescent="0.3">
      <c r="A162" s="1">
        <v>45917</v>
      </c>
      <c r="B162" t="s">
        <v>8</v>
      </c>
      <c r="C162" t="s">
        <v>18</v>
      </c>
      <c r="D162" t="str">
        <f t="shared" si="4"/>
        <v>F001Ramesh</v>
      </c>
      <c r="E162" t="s">
        <v>28</v>
      </c>
      <c r="F162">
        <v>19.28</v>
      </c>
      <c r="G162">
        <v>4.2</v>
      </c>
      <c r="H162">
        <v>8.9</v>
      </c>
      <c r="I162">
        <v>1424.79</v>
      </c>
      <c r="J162" s="4">
        <f t="shared" si="5"/>
        <v>73.899896265560159</v>
      </c>
    </row>
    <row r="163" spans="1:10" x14ac:dyDescent="0.3">
      <c r="A163" s="1">
        <v>45917</v>
      </c>
      <c r="B163" t="s">
        <v>9</v>
      </c>
      <c r="C163" t="s">
        <v>19</v>
      </c>
      <c r="D163" t="str">
        <f t="shared" si="4"/>
        <v>F002Lakshmi</v>
      </c>
      <c r="E163" t="s">
        <v>29</v>
      </c>
      <c r="F163">
        <v>8.4</v>
      </c>
      <c r="G163">
        <v>4.5</v>
      </c>
      <c r="H163">
        <v>8.1999999999999993</v>
      </c>
      <c r="I163">
        <v>609</v>
      </c>
      <c r="J163" s="4">
        <f t="shared" si="5"/>
        <v>72.5</v>
      </c>
    </row>
    <row r="164" spans="1:10" x14ac:dyDescent="0.3">
      <c r="A164" s="1">
        <v>45917</v>
      </c>
      <c r="B164" t="s">
        <v>10</v>
      </c>
      <c r="C164" t="s">
        <v>20</v>
      </c>
      <c r="D164" t="str">
        <f t="shared" si="4"/>
        <v>F003Manjunath</v>
      </c>
      <c r="E164" t="s">
        <v>30</v>
      </c>
      <c r="F164">
        <v>13.41</v>
      </c>
      <c r="G164">
        <v>3.7</v>
      </c>
      <c r="H164">
        <v>8.4</v>
      </c>
      <c r="I164">
        <v>910.54</v>
      </c>
      <c r="J164" s="4">
        <f t="shared" si="5"/>
        <v>67.900074571215512</v>
      </c>
    </row>
    <row r="165" spans="1:10" x14ac:dyDescent="0.3">
      <c r="A165" s="1">
        <v>45917</v>
      </c>
      <c r="B165" t="s">
        <v>11</v>
      </c>
      <c r="C165" t="s">
        <v>21</v>
      </c>
      <c r="D165" t="str">
        <f t="shared" si="4"/>
        <v>F004Suresh</v>
      </c>
      <c r="E165" t="s">
        <v>31</v>
      </c>
      <c r="F165">
        <v>6.39</v>
      </c>
      <c r="G165">
        <v>3.9</v>
      </c>
      <c r="H165">
        <v>8.3000000000000007</v>
      </c>
      <c r="I165">
        <v>439.63</v>
      </c>
      <c r="J165" s="4">
        <f t="shared" si="5"/>
        <v>68.799687010954614</v>
      </c>
    </row>
    <row r="166" spans="1:10" x14ac:dyDescent="0.3">
      <c r="A166" s="1">
        <v>45917</v>
      </c>
      <c r="B166" t="s">
        <v>12</v>
      </c>
      <c r="C166" t="s">
        <v>22</v>
      </c>
      <c r="D166" t="str">
        <f t="shared" si="4"/>
        <v>F005Geetha</v>
      </c>
      <c r="E166" t="s">
        <v>32</v>
      </c>
      <c r="F166">
        <v>13.8</v>
      </c>
      <c r="G166">
        <v>3.9</v>
      </c>
      <c r="H166">
        <v>8.1</v>
      </c>
      <c r="I166">
        <v>935.64</v>
      </c>
      <c r="J166" s="4">
        <f t="shared" si="5"/>
        <v>67.8</v>
      </c>
    </row>
    <row r="167" spans="1:10" x14ac:dyDescent="0.3">
      <c r="A167" s="1">
        <v>45917</v>
      </c>
      <c r="B167" t="s">
        <v>13</v>
      </c>
      <c r="C167" t="s">
        <v>23</v>
      </c>
      <c r="D167" t="str">
        <f t="shared" si="4"/>
        <v>F006Anand</v>
      </c>
      <c r="E167" t="s">
        <v>33</v>
      </c>
      <c r="F167">
        <v>17.59</v>
      </c>
      <c r="G167">
        <v>4.3</v>
      </c>
      <c r="H167">
        <v>8.1999999999999993</v>
      </c>
      <c r="I167">
        <v>1250.6500000000001</v>
      </c>
      <c r="J167" s="4">
        <f t="shared" si="5"/>
        <v>71.100056850483242</v>
      </c>
    </row>
    <row r="168" spans="1:10" x14ac:dyDescent="0.3">
      <c r="A168" s="1">
        <v>45917</v>
      </c>
      <c r="B168" t="s">
        <v>14</v>
      </c>
      <c r="C168" t="s">
        <v>24</v>
      </c>
      <c r="D168" t="str">
        <f t="shared" si="4"/>
        <v>F007Savitha</v>
      </c>
      <c r="E168" t="s">
        <v>34</v>
      </c>
      <c r="F168">
        <v>12.7</v>
      </c>
      <c r="G168">
        <v>4.9000000000000004</v>
      </c>
      <c r="H168">
        <v>8.4</v>
      </c>
      <c r="I168">
        <v>969.01</v>
      </c>
      <c r="J168" s="4">
        <f t="shared" si="5"/>
        <v>76.3</v>
      </c>
    </row>
    <row r="169" spans="1:10" x14ac:dyDescent="0.3">
      <c r="A169" s="1">
        <v>45917</v>
      </c>
      <c r="B169" t="s">
        <v>15</v>
      </c>
      <c r="C169" t="s">
        <v>25</v>
      </c>
      <c r="D169" t="str">
        <f t="shared" si="4"/>
        <v>F008Prakash</v>
      </c>
      <c r="E169" t="s">
        <v>35</v>
      </c>
      <c r="F169">
        <v>5.78</v>
      </c>
      <c r="G169">
        <v>5</v>
      </c>
      <c r="H169">
        <v>8.1</v>
      </c>
      <c r="I169">
        <v>436.39</v>
      </c>
      <c r="J169" s="4">
        <f t="shared" si="5"/>
        <v>75.5</v>
      </c>
    </row>
    <row r="170" spans="1:10" x14ac:dyDescent="0.3">
      <c r="A170" s="1">
        <v>45917</v>
      </c>
      <c r="B170" t="s">
        <v>16</v>
      </c>
      <c r="C170" t="s">
        <v>26</v>
      </c>
      <c r="D170" t="str">
        <f t="shared" si="4"/>
        <v>F009Meena</v>
      </c>
      <c r="E170" t="s">
        <v>36</v>
      </c>
      <c r="F170">
        <v>12</v>
      </c>
      <c r="G170">
        <v>4.2</v>
      </c>
      <c r="H170">
        <v>8.8000000000000007</v>
      </c>
      <c r="I170">
        <v>880.8</v>
      </c>
      <c r="J170" s="4">
        <f t="shared" si="5"/>
        <v>73.399999999999991</v>
      </c>
    </row>
    <row r="171" spans="1:10" x14ac:dyDescent="0.3">
      <c r="A171" s="1">
        <v>45917</v>
      </c>
      <c r="B171" t="s">
        <v>17</v>
      </c>
      <c r="C171" t="s">
        <v>27</v>
      </c>
      <c r="D171" t="str">
        <f t="shared" si="4"/>
        <v>F010Ravi</v>
      </c>
      <c r="E171" t="s">
        <v>37</v>
      </c>
      <c r="F171">
        <v>10.42</v>
      </c>
      <c r="G171">
        <v>4.4000000000000004</v>
      </c>
      <c r="H171">
        <v>9.1</v>
      </c>
      <c r="I171">
        <v>795.05</v>
      </c>
      <c r="J171" s="4">
        <f t="shared" si="5"/>
        <v>76.300383877159305</v>
      </c>
    </row>
    <row r="172" spans="1:10" x14ac:dyDescent="0.3">
      <c r="A172" s="1">
        <v>45918</v>
      </c>
      <c r="B172" t="s">
        <v>8</v>
      </c>
      <c r="C172" t="s">
        <v>18</v>
      </c>
      <c r="D172" t="str">
        <f t="shared" si="4"/>
        <v>F001Ramesh</v>
      </c>
      <c r="E172" t="s">
        <v>28</v>
      </c>
      <c r="F172">
        <v>8.4</v>
      </c>
      <c r="G172">
        <v>3.5</v>
      </c>
      <c r="H172">
        <v>9</v>
      </c>
      <c r="I172">
        <v>583.79999999999995</v>
      </c>
      <c r="J172" s="4">
        <f t="shared" si="5"/>
        <v>69.499999999999986</v>
      </c>
    </row>
    <row r="173" spans="1:10" x14ac:dyDescent="0.3">
      <c r="A173" s="1">
        <v>45918</v>
      </c>
      <c r="B173" t="s">
        <v>9</v>
      </c>
      <c r="C173" t="s">
        <v>19</v>
      </c>
      <c r="D173" t="str">
        <f t="shared" si="4"/>
        <v>F002Lakshmi</v>
      </c>
      <c r="E173" t="s">
        <v>29</v>
      </c>
      <c r="F173">
        <v>6.95</v>
      </c>
      <c r="G173">
        <v>4.2</v>
      </c>
      <c r="H173">
        <v>8.5</v>
      </c>
      <c r="I173">
        <v>499.71</v>
      </c>
      <c r="J173" s="4">
        <f t="shared" si="5"/>
        <v>71.900719424460434</v>
      </c>
    </row>
    <row r="174" spans="1:10" x14ac:dyDescent="0.3">
      <c r="A174" s="1">
        <v>45918</v>
      </c>
      <c r="B174" t="s">
        <v>10</v>
      </c>
      <c r="C174" t="s">
        <v>20</v>
      </c>
      <c r="D174" t="str">
        <f t="shared" si="4"/>
        <v>F003Manjunath</v>
      </c>
      <c r="E174" t="s">
        <v>30</v>
      </c>
      <c r="F174">
        <v>8.7200000000000006</v>
      </c>
      <c r="G174">
        <v>4.2</v>
      </c>
      <c r="H174">
        <v>8.4</v>
      </c>
      <c r="I174">
        <v>622.61</v>
      </c>
      <c r="J174" s="4">
        <f t="shared" si="5"/>
        <v>71.400229357798167</v>
      </c>
    </row>
    <row r="175" spans="1:10" x14ac:dyDescent="0.3">
      <c r="A175" s="1">
        <v>45918</v>
      </c>
      <c r="B175" t="s">
        <v>11</v>
      </c>
      <c r="C175" t="s">
        <v>21</v>
      </c>
      <c r="D175" t="str">
        <f t="shared" si="4"/>
        <v>F004Suresh</v>
      </c>
      <c r="E175" t="s">
        <v>31</v>
      </c>
      <c r="F175">
        <v>14.2</v>
      </c>
      <c r="G175">
        <v>4.8</v>
      </c>
      <c r="H175">
        <v>9</v>
      </c>
      <c r="I175">
        <v>1116.1199999999999</v>
      </c>
      <c r="J175" s="4">
        <f t="shared" si="5"/>
        <v>78.599999999999994</v>
      </c>
    </row>
    <row r="176" spans="1:10" x14ac:dyDescent="0.3">
      <c r="A176" s="1">
        <v>45918</v>
      </c>
      <c r="B176" t="s">
        <v>12</v>
      </c>
      <c r="C176" t="s">
        <v>22</v>
      </c>
      <c r="D176" t="str">
        <f t="shared" si="4"/>
        <v>F005Geetha</v>
      </c>
      <c r="E176" t="s">
        <v>32</v>
      </c>
      <c r="F176">
        <v>5.14</v>
      </c>
      <c r="G176">
        <v>4.4000000000000004</v>
      </c>
      <c r="H176">
        <v>8.4</v>
      </c>
      <c r="I176">
        <v>374.19</v>
      </c>
      <c r="J176" s="4">
        <f t="shared" si="5"/>
        <v>72.799610894941637</v>
      </c>
    </row>
    <row r="177" spans="1:10" x14ac:dyDescent="0.3">
      <c r="A177" s="1">
        <v>45918</v>
      </c>
      <c r="B177" t="s">
        <v>13</v>
      </c>
      <c r="C177" t="s">
        <v>23</v>
      </c>
      <c r="D177" t="str">
        <f t="shared" si="4"/>
        <v>F006Anand</v>
      </c>
      <c r="E177" t="s">
        <v>33</v>
      </c>
      <c r="F177">
        <v>9.93</v>
      </c>
      <c r="G177">
        <v>4</v>
      </c>
      <c r="H177">
        <v>8.9</v>
      </c>
      <c r="I177">
        <v>719.92</v>
      </c>
      <c r="J177" s="4">
        <f t="shared" si="5"/>
        <v>72.499496475327291</v>
      </c>
    </row>
    <row r="178" spans="1:10" x14ac:dyDescent="0.3">
      <c r="A178" s="1">
        <v>45918</v>
      </c>
      <c r="B178" t="s">
        <v>14</v>
      </c>
      <c r="C178" t="s">
        <v>24</v>
      </c>
      <c r="D178" t="str">
        <f t="shared" si="4"/>
        <v>F007Savitha</v>
      </c>
      <c r="E178" t="s">
        <v>34</v>
      </c>
      <c r="F178">
        <v>5.16</v>
      </c>
      <c r="G178">
        <v>4.5999999999999996</v>
      </c>
      <c r="H178">
        <v>8.9</v>
      </c>
      <c r="I178">
        <v>395.77</v>
      </c>
      <c r="J178" s="4">
        <f t="shared" si="5"/>
        <v>76.699612403100772</v>
      </c>
    </row>
    <row r="179" spans="1:10" x14ac:dyDescent="0.3">
      <c r="A179" s="1">
        <v>45918</v>
      </c>
      <c r="B179" t="s">
        <v>15</v>
      </c>
      <c r="C179" t="s">
        <v>25</v>
      </c>
      <c r="D179" t="str">
        <f t="shared" si="4"/>
        <v>F008Prakash</v>
      </c>
      <c r="E179" t="s">
        <v>35</v>
      </c>
      <c r="F179">
        <v>7.75</v>
      </c>
      <c r="G179">
        <v>4.2</v>
      </c>
      <c r="H179">
        <v>9.1</v>
      </c>
      <c r="I179">
        <v>580.48</v>
      </c>
      <c r="J179" s="4">
        <f t="shared" si="5"/>
        <v>74.900645161290328</v>
      </c>
    </row>
    <row r="180" spans="1:10" x14ac:dyDescent="0.3">
      <c r="A180" s="1">
        <v>45918</v>
      </c>
      <c r="B180" t="s">
        <v>16</v>
      </c>
      <c r="C180" t="s">
        <v>26</v>
      </c>
      <c r="D180" t="str">
        <f t="shared" si="4"/>
        <v>F009Meena</v>
      </c>
      <c r="E180" t="s">
        <v>36</v>
      </c>
      <c r="F180">
        <v>17.920000000000002</v>
      </c>
      <c r="G180">
        <v>3.6</v>
      </c>
      <c r="H180">
        <v>9</v>
      </c>
      <c r="I180">
        <v>1257.98</v>
      </c>
      <c r="J180" s="4">
        <f t="shared" si="5"/>
        <v>70.199776785714278</v>
      </c>
    </row>
    <row r="181" spans="1:10" x14ac:dyDescent="0.3">
      <c r="A181" s="1">
        <v>45918</v>
      </c>
      <c r="B181" t="s">
        <v>17</v>
      </c>
      <c r="C181" t="s">
        <v>27</v>
      </c>
      <c r="D181" t="str">
        <f t="shared" si="4"/>
        <v>F010Ravi</v>
      </c>
      <c r="E181" t="s">
        <v>37</v>
      </c>
      <c r="F181">
        <v>18.649999999999999</v>
      </c>
      <c r="G181">
        <v>3.9</v>
      </c>
      <c r="H181">
        <v>8.9</v>
      </c>
      <c r="I181">
        <v>1339.07</v>
      </c>
      <c r="J181" s="4">
        <f t="shared" si="5"/>
        <v>71.8</v>
      </c>
    </row>
    <row r="182" spans="1:10" x14ac:dyDescent="0.3">
      <c r="A182" s="1">
        <v>45919</v>
      </c>
      <c r="B182" t="s">
        <v>8</v>
      </c>
      <c r="C182" t="s">
        <v>18</v>
      </c>
      <c r="D182" t="str">
        <f t="shared" si="4"/>
        <v>F001Ramesh</v>
      </c>
      <c r="E182" t="s">
        <v>28</v>
      </c>
      <c r="F182">
        <v>18.07</v>
      </c>
      <c r="G182">
        <v>4.5999999999999996</v>
      </c>
      <c r="H182">
        <v>8.9</v>
      </c>
      <c r="I182">
        <v>1385.97</v>
      </c>
      <c r="J182" s="4">
        <f t="shared" si="5"/>
        <v>76.700055340343113</v>
      </c>
    </row>
    <row r="183" spans="1:10" x14ac:dyDescent="0.3">
      <c r="A183" s="1">
        <v>45919</v>
      </c>
      <c r="B183" t="s">
        <v>9</v>
      </c>
      <c r="C183" t="s">
        <v>19</v>
      </c>
      <c r="D183" t="str">
        <f t="shared" si="4"/>
        <v>F002Lakshmi</v>
      </c>
      <c r="E183" t="s">
        <v>29</v>
      </c>
      <c r="F183">
        <v>18.97</v>
      </c>
      <c r="G183">
        <v>4.9000000000000004</v>
      </c>
      <c r="H183">
        <v>9.1999999999999993</v>
      </c>
      <c r="I183">
        <v>1523.29</v>
      </c>
      <c r="J183" s="4">
        <f t="shared" si="5"/>
        <v>80.299947285187145</v>
      </c>
    </row>
    <row r="184" spans="1:10" x14ac:dyDescent="0.3">
      <c r="A184" s="1">
        <v>45919</v>
      </c>
      <c r="B184" t="s">
        <v>10</v>
      </c>
      <c r="C184" t="s">
        <v>20</v>
      </c>
      <c r="D184" t="str">
        <f t="shared" si="4"/>
        <v>F003Manjunath</v>
      </c>
      <c r="E184" t="s">
        <v>30</v>
      </c>
      <c r="F184">
        <v>12.65</v>
      </c>
      <c r="G184">
        <v>3.8</v>
      </c>
      <c r="H184">
        <v>9.1999999999999993</v>
      </c>
      <c r="I184">
        <v>918.39</v>
      </c>
      <c r="J184" s="4">
        <f t="shared" si="5"/>
        <v>72.599999999999994</v>
      </c>
    </row>
    <row r="185" spans="1:10" x14ac:dyDescent="0.3">
      <c r="A185" s="1">
        <v>45919</v>
      </c>
      <c r="B185" t="s">
        <v>11</v>
      </c>
      <c r="C185" t="s">
        <v>21</v>
      </c>
      <c r="D185" t="str">
        <f t="shared" si="4"/>
        <v>F004Suresh</v>
      </c>
      <c r="E185" t="s">
        <v>31</v>
      </c>
      <c r="F185">
        <v>9.9</v>
      </c>
      <c r="G185">
        <v>4.9000000000000004</v>
      </c>
      <c r="H185">
        <v>8.1999999999999993</v>
      </c>
      <c r="I185">
        <v>745.47</v>
      </c>
      <c r="J185" s="4">
        <f t="shared" si="5"/>
        <v>75.3</v>
      </c>
    </row>
    <row r="186" spans="1:10" x14ac:dyDescent="0.3">
      <c r="A186" s="1">
        <v>45919</v>
      </c>
      <c r="B186" t="s">
        <v>12</v>
      </c>
      <c r="C186" t="s">
        <v>22</v>
      </c>
      <c r="D186" t="str">
        <f t="shared" si="4"/>
        <v>F005Geetha</v>
      </c>
      <c r="E186" t="s">
        <v>32</v>
      </c>
      <c r="F186">
        <v>9.6999999999999993</v>
      </c>
      <c r="G186">
        <v>4.7</v>
      </c>
      <c r="H186">
        <v>8</v>
      </c>
      <c r="I186">
        <v>707.13</v>
      </c>
      <c r="J186" s="4">
        <f t="shared" si="5"/>
        <v>72.900000000000006</v>
      </c>
    </row>
    <row r="187" spans="1:10" x14ac:dyDescent="0.3">
      <c r="A187" s="1">
        <v>45919</v>
      </c>
      <c r="B187" t="s">
        <v>13</v>
      </c>
      <c r="C187" t="s">
        <v>23</v>
      </c>
      <c r="D187" t="str">
        <f t="shared" si="4"/>
        <v>F006Anand</v>
      </c>
      <c r="E187" t="s">
        <v>33</v>
      </c>
      <c r="F187">
        <v>12.68</v>
      </c>
      <c r="G187">
        <v>3.7</v>
      </c>
      <c r="H187">
        <v>8.3000000000000007</v>
      </c>
      <c r="I187">
        <v>854.63</v>
      </c>
      <c r="J187" s="4">
        <f t="shared" si="5"/>
        <v>67.39984227129338</v>
      </c>
    </row>
    <row r="188" spans="1:10" x14ac:dyDescent="0.3">
      <c r="A188" s="1">
        <v>45919</v>
      </c>
      <c r="B188" t="s">
        <v>14</v>
      </c>
      <c r="C188" t="s">
        <v>24</v>
      </c>
      <c r="D188" t="str">
        <f t="shared" si="4"/>
        <v>F007Savitha</v>
      </c>
      <c r="E188" t="s">
        <v>34</v>
      </c>
      <c r="F188">
        <v>5.12</v>
      </c>
      <c r="G188">
        <v>4</v>
      </c>
      <c r="H188">
        <v>8.1999999999999993</v>
      </c>
      <c r="I188">
        <v>353.28</v>
      </c>
      <c r="J188" s="4">
        <f t="shared" si="5"/>
        <v>69</v>
      </c>
    </row>
    <row r="189" spans="1:10" x14ac:dyDescent="0.3">
      <c r="A189" s="1">
        <v>45919</v>
      </c>
      <c r="B189" t="s">
        <v>15</v>
      </c>
      <c r="C189" t="s">
        <v>25</v>
      </c>
      <c r="D189" t="str">
        <f t="shared" si="4"/>
        <v>F008Prakash</v>
      </c>
      <c r="E189" t="s">
        <v>35</v>
      </c>
      <c r="F189">
        <v>6.1</v>
      </c>
      <c r="G189">
        <v>4.9000000000000004</v>
      </c>
      <c r="H189">
        <v>8.6</v>
      </c>
      <c r="I189">
        <v>471.53</v>
      </c>
      <c r="J189" s="4">
        <f t="shared" si="5"/>
        <v>77.3</v>
      </c>
    </row>
    <row r="190" spans="1:10" x14ac:dyDescent="0.3">
      <c r="A190" s="1">
        <v>45919</v>
      </c>
      <c r="B190" t="s">
        <v>16</v>
      </c>
      <c r="C190" t="s">
        <v>26</v>
      </c>
      <c r="D190" t="str">
        <f t="shared" si="4"/>
        <v>F009Meena</v>
      </c>
      <c r="E190" t="s">
        <v>36</v>
      </c>
      <c r="F190">
        <v>17.8</v>
      </c>
      <c r="G190">
        <v>4.5999999999999996</v>
      </c>
      <c r="H190">
        <v>9</v>
      </c>
      <c r="I190">
        <v>1374.16</v>
      </c>
      <c r="J190" s="4">
        <f t="shared" si="5"/>
        <v>77.2</v>
      </c>
    </row>
    <row r="191" spans="1:10" x14ac:dyDescent="0.3">
      <c r="A191" s="1">
        <v>45919</v>
      </c>
      <c r="B191" t="s">
        <v>17</v>
      </c>
      <c r="C191" t="s">
        <v>27</v>
      </c>
      <c r="D191" t="str">
        <f t="shared" si="4"/>
        <v>F010Ravi</v>
      </c>
      <c r="E191" t="s">
        <v>37</v>
      </c>
      <c r="F191">
        <v>12.84</v>
      </c>
      <c r="G191">
        <v>4.7</v>
      </c>
      <c r="H191">
        <v>9.1999999999999993</v>
      </c>
      <c r="I191">
        <v>1013.08</v>
      </c>
      <c r="J191" s="4">
        <f t="shared" si="5"/>
        <v>78.900311526479754</v>
      </c>
    </row>
    <row r="192" spans="1:10" x14ac:dyDescent="0.3">
      <c r="A192" s="1">
        <v>45920</v>
      </c>
      <c r="B192" t="s">
        <v>8</v>
      </c>
      <c r="C192" t="s">
        <v>18</v>
      </c>
      <c r="D192" t="str">
        <f t="shared" si="4"/>
        <v>F001Ramesh</v>
      </c>
      <c r="E192" t="s">
        <v>28</v>
      </c>
      <c r="F192">
        <v>15.98</v>
      </c>
      <c r="G192">
        <v>3.9</v>
      </c>
      <c r="H192">
        <v>9.1</v>
      </c>
      <c r="I192">
        <v>1163.3399999999999</v>
      </c>
      <c r="J192" s="4">
        <f t="shared" si="5"/>
        <v>72.799749687108886</v>
      </c>
    </row>
    <row r="193" spans="1:10" x14ac:dyDescent="0.3">
      <c r="A193" s="1">
        <v>45920</v>
      </c>
      <c r="B193" t="s">
        <v>9</v>
      </c>
      <c r="C193" t="s">
        <v>19</v>
      </c>
      <c r="D193" t="str">
        <f t="shared" si="4"/>
        <v>F002Lakshmi</v>
      </c>
      <c r="E193" t="s">
        <v>29</v>
      </c>
      <c r="F193">
        <v>6</v>
      </c>
      <c r="G193">
        <v>4.9000000000000004</v>
      </c>
      <c r="H193">
        <v>8.5</v>
      </c>
      <c r="I193">
        <v>460.8</v>
      </c>
      <c r="J193" s="4">
        <f t="shared" si="5"/>
        <v>76.8</v>
      </c>
    </row>
    <row r="194" spans="1:10" x14ac:dyDescent="0.3">
      <c r="A194" s="1">
        <v>45920</v>
      </c>
      <c r="B194" t="s">
        <v>10</v>
      </c>
      <c r="C194" t="s">
        <v>20</v>
      </c>
      <c r="D194" t="str">
        <f t="shared" ref="D194:D257" si="6">_xlfn.CONCAT(B194,C194)</f>
        <v>F003Manjunath</v>
      </c>
      <c r="E194" t="s">
        <v>30</v>
      </c>
      <c r="F194">
        <v>10.38</v>
      </c>
      <c r="G194">
        <v>4.8</v>
      </c>
      <c r="H194">
        <v>8.4</v>
      </c>
      <c r="I194">
        <v>784.73</v>
      </c>
      <c r="J194" s="4">
        <f t="shared" si="5"/>
        <v>75.600192678227359</v>
      </c>
    </row>
    <row r="195" spans="1:10" x14ac:dyDescent="0.3">
      <c r="A195" s="1">
        <v>45920</v>
      </c>
      <c r="B195" t="s">
        <v>11</v>
      </c>
      <c r="C195" t="s">
        <v>21</v>
      </c>
      <c r="D195" t="str">
        <f t="shared" si="6"/>
        <v>F004Suresh</v>
      </c>
      <c r="E195" t="s">
        <v>31</v>
      </c>
      <c r="F195">
        <v>11</v>
      </c>
      <c r="G195">
        <v>4.9000000000000004</v>
      </c>
      <c r="H195">
        <v>9</v>
      </c>
      <c r="I195">
        <v>872.3</v>
      </c>
      <c r="J195" s="4">
        <f t="shared" ref="J195:J258" si="7">I195/F195</f>
        <v>79.3</v>
      </c>
    </row>
    <row r="196" spans="1:10" x14ac:dyDescent="0.3">
      <c r="A196" s="1">
        <v>45920</v>
      </c>
      <c r="B196" t="s">
        <v>12</v>
      </c>
      <c r="C196" t="s">
        <v>22</v>
      </c>
      <c r="D196" t="str">
        <f t="shared" si="6"/>
        <v>F005Geetha</v>
      </c>
      <c r="E196" t="s">
        <v>32</v>
      </c>
      <c r="F196">
        <v>8.84</v>
      </c>
      <c r="G196">
        <v>4.4000000000000004</v>
      </c>
      <c r="H196">
        <v>8.6999999999999993</v>
      </c>
      <c r="I196">
        <v>656.81</v>
      </c>
      <c r="J196" s="4">
        <f t="shared" si="7"/>
        <v>74.299773755656105</v>
      </c>
    </row>
    <row r="197" spans="1:10" x14ac:dyDescent="0.3">
      <c r="A197" s="1">
        <v>45920</v>
      </c>
      <c r="B197" t="s">
        <v>13</v>
      </c>
      <c r="C197" t="s">
        <v>23</v>
      </c>
      <c r="D197" t="str">
        <f t="shared" si="6"/>
        <v>F006Anand</v>
      </c>
      <c r="E197" t="s">
        <v>33</v>
      </c>
      <c r="F197">
        <v>13.96</v>
      </c>
      <c r="G197">
        <v>4.9000000000000004</v>
      </c>
      <c r="H197">
        <v>8.1999999999999993</v>
      </c>
      <c r="I197">
        <v>1051.19</v>
      </c>
      <c r="J197" s="4">
        <f t="shared" si="7"/>
        <v>75.300143266475644</v>
      </c>
    </row>
    <row r="198" spans="1:10" x14ac:dyDescent="0.3">
      <c r="A198" s="1">
        <v>45920</v>
      </c>
      <c r="B198" t="s">
        <v>14</v>
      </c>
      <c r="C198" t="s">
        <v>24</v>
      </c>
      <c r="D198" t="str">
        <f t="shared" si="6"/>
        <v>F007Savitha</v>
      </c>
      <c r="E198" t="s">
        <v>34</v>
      </c>
      <c r="F198">
        <v>18.239999999999998</v>
      </c>
      <c r="G198">
        <v>3.5</v>
      </c>
      <c r="H198">
        <v>8.6</v>
      </c>
      <c r="I198">
        <v>1231.2</v>
      </c>
      <c r="J198" s="4">
        <f t="shared" si="7"/>
        <v>67.500000000000014</v>
      </c>
    </row>
    <row r="199" spans="1:10" x14ac:dyDescent="0.3">
      <c r="A199" s="1">
        <v>45920</v>
      </c>
      <c r="B199" t="s">
        <v>15</v>
      </c>
      <c r="C199" t="s">
        <v>25</v>
      </c>
      <c r="D199" t="str">
        <f t="shared" si="6"/>
        <v>F008Prakash</v>
      </c>
      <c r="E199" t="s">
        <v>35</v>
      </c>
      <c r="F199">
        <v>8.35</v>
      </c>
      <c r="G199">
        <v>4</v>
      </c>
      <c r="H199">
        <v>8.6</v>
      </c>
      <c r="I199">
        <v>592.85</v>
      </c>
      <c r="J199" s="4">
        <f t="shared" si="7"/>
        <v>71</v>
      </c>
    </row>
    <row r="200" spans="1:10" x14ac:dyDescent="0.3">
      <c r="A200" s="1">
        <v>45920</v>
      </c>
      <c r="B200" t="s">
        <v>16</v>
      </c>
      <c r="C200" t="s">
        <v>26</v>
      </c>
      <c r="D200" t="str">
        <f t="shared" si="6"/>
        <v>F009Meena</v>
      </c>
      <c r="E200" t="s">
        <v>36</v>
      </c>
      <c r="F200">
        <v>12.9</v>
      </c>
      <c r="G200">
        <v>4</v>
      </c>
      <c r="H200">
        <v>8.8000000000000007</v>
      </c>
      <c r="I200">
        <v>928.8</v>
      </c>
      <c r="J200" s="4">
        <f t="shared" si="7"/>
        <v>72</v>
      </c>
    </row>
    <row r="201" spans="1:10" x14ac:dyDescent="0.3">
      <c r="A201" s="1">
        <v>45920</v>
      </c>
      <c r="B201" t="s">
        <v>17</v>
      </c>
      <c r="C201" t="s">
        <v>27</v>
      </c>
      <c r="D201" t="str">
        <f t="shared" si="6"/>
        <v>F010Ravi</v>
      </c>
      <c r="E201" t="s">
        <v>37</v>
      </c>
      <c r="F201">
        <v>19.489999999999998</v>
      </c>
      <c r="G201">
        <v>3.5</v>
      </c>
      <c r="H201">
        <v>8.8000000000000007</v>
      </c>
      <c r="I201">
        <v>1335.06</v>
      </c>
      <c r="J201" s="4">
        <f t="shared" si="7"/>
        <v>68.499743458183687</v>
      </c>
    </row>
    <row r="202" spans="1:10" x14ac:dyDescent="0.3">
      <c r="A202" s="1">
        <v>45921</v>
      </c>
      <c r="B202" t="s">
        <v>8</v>
      </c>
      <c r="C202" t="s">
        <v>18</v>
      </c>
      <c r="D202" t="str">
        <f t="shared" si="6"/>
        <v>F001Ramesh</v>
      </c>
      <c r="E202" t="s">
        <v>28</v>
      </c>
      <c r="F202">
        <v>14.7</v>
      </c>
      <c r="G202">
        <v>3.9</v>
      </c>
      <c r="H202">
        <v>8.4</v>
      </c>
      <c r="I202">
        <v>1018.71</v>
      </c>
      <c r="J202" s="4">
        <f t="shared" si="7"/>
        <v>69.300000000000011</v>
      </c>
    </row>
    <row r="203" spans="1:10" x14ac:dyDescent="0.3">
      <c r="A203" s="1">
        <v>45921</v>
      </c>
      <c r="B203" t="s">
        <v>9</v>
      </c>
      <c r="C203" t="s">
        <v>19</v>
      </c>
      <c r="D203" t="str">
        <f t="shared" si="6"/>
        <v>F002Lakshmi</v>
      </c>
      <c r="E203" t="s">
        <v>29</v>
      </c>
      <c r="F203">
        <v>12.6</v>
      </c>
      <c r="G203">
        <v>4.5</v>
      </c>
      <c r="H203">
        <v>9.4</v>
      </c>
      <c r="I203">
        <v>989.1</v>
      </c>
      <c r="J203" s="4">
        <f t="shared" si="7"/>
        <v>78.5</v>
      </c>
    </row>
    <row r="204" spans="1:10" x14ac:dyDescent="0.3">
      <c r="A204" s="1">
        <v>45921</v>
      </c>
      <c r="B204" t="s">
        <v>10</v>
      </c>
      <c r="C204" t="s">
        <v>20</v>
      </c>
      <c r="D204" t="str">
        <f t="shared" si="6"/>
        <v>F003Manjunath</v>
      </c>
      <c r="E204" t="s">
        <v>30</v>
      </c>
      <c r="F204">
        <v>5.47</v>
      </c>
      <c r="G204">
        <v>3.6</v>
      </c>
      <c r="H204">
        <v>9.5</v>
      </c>
      <c r="I204">
        <v>397.67</v>
      </c>
      <c r="J204" s="4">
        <f t="shared" si="7"/>
        <v>72.700182815356499</v>
      </c>
    </row>
    <row r="205" spans="1:10" x14ac:dyDescent="0.3">
      <c r="A205" s="1">
        <v>45921</v>
      </c>
      <c r="B205" t="s">
        <v>11</v>
      </c>
      <c r="C205" t="s">
        <v>21</v>
      </c>
      <c r="D205" t="str">
        <f t="shared" si="6"/>
        <v>F004Suresh</v>
      </c>
      <c r="E205" t="s">
        <v>31</v>
      </c>
      <c r="F205">
        <v>7.12</v>
      </c>
      <c r="G205">
        <v>3.6</v>
      </c>
      <c r="H205">
        <v>8.1999999999999993</v>
      </c>
      <c r="I205">
        <v>471.34</v>
      </c>
      <c r="J205" s="4">
        <f t="shared" si="7"/>
        <v>66.19943820224718</v>
      </c>
    </row>
    <row r="206" spans="1:10" x14ac:dyDescent="0.3">
      <c r="A206" s="1">
        <v>45921</v>
      </c>
      <c r="B206" t="s">
        <v>12</v>
      </c>
      <c r="C206" t="s">
        <v>22</v>
      </c>
      <c r="D206" t="str">
        <f t="shared" si="6"/>
        <v>F005Geetha</v>
      </c>
      <c r="E206" t="s">
        <v>32</v>
      </c>
      <c r="F206">
        <v>15.15</v>
      </c>
      <c r="G206">
        <v>4.2</v>
      </c>
      <c r="H206">
        <v>8</v>
      </c>
      <c r="I206">
        <v>1051.4100000000001</v>
      </c>
      <c r="J206" s="4">
        <f t="shared" si="7"/>
        <v>69.400000000000006</v>
      </c>
    </row>
    <row r="207" spans="1:10" x14ac:dyDescent="0.3">
      <c r="A207" s="1">
        <v>45921</v>
      </c>
      <c r="B207" t="s">
        <v>13</v>
      </c>
      <c r="C207" t="s">
        <v>23</v>
      </c>
      <c r="D207" t="str">
        <f t="shared" si="6"/>
        <v>F006Anand</v>
      </c>
      <c r="E207" t="s">
        <v>33</v>
      </c>
      <c r="F207">
        <v>12.13</v>
      </c>
      <c r="G207">
        <v>4.7</v>
      </c>
      <c r="H207">
        <v>8.9</v>
      </c>
      <c r="I207">
        <v>938.86</v>
      </c>
      <c r="J207" s="4">
        <f t="shared" si="7"/>
        <v>77.399835119538338</v>
      </c>
    </row>
    <row r="208" spans="1:10" x14ac:dyDescent="0.3">
      <c r="A208" s="1">
        <v>45921</v>
      </c>
      <c r="B208" t="s">
        <v>14</v>
      </c>
      <c r="C208" t="s">
        <v>24</v>
      </c>
      <c r="D208" t="str">
        <f t="shared" si="6"/>
        <v>F007Savitha</v>
      </c>
      <c r="E208" t="s">
        <v>34</v>
      </c>
      <c r="F208">
        <v>14.02</v>
      </c>
      <c r="G208">
        <v>4.8</v>
      </c>
      <c r="H208">
        <v>8.8000000000000007</v>
      </c>
      <c r="I208">
        <v>1087.95</v>
      </c>
      <c r="J208" s="4">
        <f t="shared" si="7"/>
        <v>77.599857346647653</v>
      </c>
    </row>
    <row r="209" spans="1:10" x14ac:dyDescent="0.3">
      <c r="A209" s="1">
        <v>45921</v>
      </c>
      <c r="B209" t="s">
        <v>15</v>
      </c>
      <c r="C209" t="s">
        <v>25</v>
      </c>
      <c r="D209" t="str">
        <f t="shared" si="6"/>
        <v>F008Prakash</v>
      </c>
      <c r="E209" t="s">
        <v>35</v>
      </c>
      <c r="F209">
        <v>8.1</v>
      </c>
      <c r="G209">
        <v>3.7</v>
      </c>
      <c r="H209">
        <v>8.1999999999999993</v>
      </c>
      <c r="I209">
        <v>541.89</v>
      </c>
      <c r="J209" s="4">
        <f t="shared" si="7"/>
        <v>66.900000000000006</v>
      </c>
    </row>
    <row r="210" spans="1:10" x14ac:dyDescent="0.3">
      <c r="A210" s="1">
        <v>45921</v>
      </c>
      <c r="B210" t="s">
        <v>16</v>
      </c>
      <c r="C210" t="s">
        <v>26</v>
      </c>
      <c r="D210" t="str">
        <f t="shared" si="6"/>
        <v>F009Meena</v>
      </c>
      <c r="E210" t="s">
        <v>36</v>
      </c>
      <c r="F210">
        <v>9.5399999999999991</v>
      </c>
      <c r="G210">
        <v>4.4000000000000004</v>
      </c>
      <c r="H210">
        <v>8.3000000000000007</v>
      </c>
      <c r="I210">
        <v>689.74</v>
      </c>
      <c r="J210" s="4">
        <f t="shared" si="7"/>
        <v>72.299790356394141</v>
      </c>
    </row>
    <row r="211" spans="1:10" x14ac:dyDescent="0.3">
      <c r="A211" s="1">
        <v>45921</v>
      </c>
      <c r="B211" t="s">
        <v>17</v>
      </c>
      <c r="C211" t="s">
        <v>27</v>
      </c>
      <c r="D211" t="str">
        <f t="shared" si="6"/>
        <v>F010Ravi</v>
      </c>
      <c r="E211" t="s">
        <v>37</v>
      </c>
      <c r="F211">
        <v>8.5299999999999994</v>
      </c>
      <c r="G211">
        <v>4.5999999999999996</v>
      </c>
      <c r="H211">
        <v>9.1</v>
      </c>
      <c r="I211">
        <v>662.78</v>
      </c>
      <c r="J211" s="4">
        <f t="shared" si="7"/>
        <v>77.699882766705741</v>
      </c>
    </row>
    <row r="212" spans="1:10" x14ac:dyDescent="0.3">
      <c r="A212" s="1">
        <v>45922</v>
      </c>
      <c r="B212" t="s">
        <v>8</v>
      </c>
      <c r="C212" t="s">
        <v>18</v>
      </c>
      <c r="D212" t="str">
        <f t="shared" si="6"/>
        <v>F001Ramesh</v>
      </c>
      <c r="E212" t="s">
        <v>28</v>
      </c>
      <c r="F212">
        <v>14.64</v>
      </c>
      <c r="G212">
        <v>4.0999999999999996</v>
      </c>
      <c r="H212">
        <v>8.3000000000000007</v>
      </c>
      <c r="I212">
        <v>1027.73</v>
      </c>
      <c r="J212" s="4">
        <f t="shared" si="7"/>
        <v>70.200136612021851</v>
      </c>
    </row>
    <row r="213" spans="1:10" x14ac:dyDescent="0.3">
      <c r="A213" s="1">
        <v>45922</v>
      </c>
      <c r="B213" t="s">
        <v>9</v>
      </c>
      <c r="C213" t="s">
        <v>19</v>
      </c>
      <c r="D213" t="str">
        <f t="shared" si="6"/>
        <v>F002Lakshmi</v>
      </c>
      <c r="E213" t="s">
        <v>29</v>
      </c>
      <c r="F213">
        <v>19.88</v>
      </c>
      <c r="G213">
        <v>4.3</v>
      </c>
      <c r="H213">
        <v>8.9</v>
      </c>
      <c r="I213">
        <v>1483.05</v>
      </c>
      <c r="J213" s="4">
        <f t="shared" si="7"/>
        <v>74.600100603621726</v>
      </c>
    </row>
    <row r="214" spans="1:10" x14ac:dyDescent="0.3">
      <c r="A214" s="1">
        <v>45922</v>
      </c>
      <c r="B214" t="s">
        <v>10</v>
      </c>
      <c r="C214" t="s">
        <v>20</v>
      </c>
      <c r="D214" t="str">
        <f t="shared" si="6"/>
        <v>F003Manjunath</v>
      </c>
      <c r="E214" t="s">
        <v>30</v>
      </c>
      <c r="F214">
        <v>7.63</v>
      </c>
      <c r="G214">
        <v>4</v>
      </c>
      <c r="H214">
        <v>8.6999999999999993</v>
      </c>
      <c r="I214">
        <v>545.54</v>
      </c>
      <c r="J214" s="4">
        <f t="shared" si="7"/>
        <v>71.499344692005238</v>
      </c>
    </row>
    <row r="215" spans="1:10" x14ac:dyDescent="0.3">
      <c r="A215" s="1">
        <v>45922</v>
      </c>
      <c r="B215" t="s">
        <v>11</v>
      </c>
      <c r="C215" t="s">
        <v>21</v>
      </c>
      <c r="D215" t="str">
        <f t="shared" si="6"/>
        <v>F004Suresh</v>
      </c>
      <c r="E215" t="s">
        <v>31</v>
      </c>
      <c r="F215">
        <v>15.15</v>
      </c>
      <c r="G215">
        <v>3.8</v>
      </c>
      <c r="H215">
        <v>8</v>
      </c>
      <c r="I215">
        <v>1008.99</v>
      </c>
      <c r="J215" s="4">
        <f t="shared" si="7"/>
        <v>66.599999999999994</v>
      </c>
    </row>
    <row r="216" spans="1:10" x14ac:dyDescent="0.3">
      <c r="A216" s="1">
        <v>45922</v>
      </c>
      <c r="B216" t="s">
        <v>12</v>
      </c>
      <c r="C216" t="s">
        <v>22</v>
      </c>
      <c r="D216" t="str">
        <f t="shared" si="6"/>
        <v>F005Geetha</v>
      </c>
      <c r="E216" t="s">
        <v>32</v>
      </c>
      <c r="F216">
        <v>10.3</v>
      </c>
      <c r="G216">
        <v>4</v>
      </c>
      <c r="H216">
        <v>8.6999999999999993</v>
      </c>
      <c r="I216">
        <v>736.45</v>
      </c>
      <c r="J216" s="4">
        <f t="shared" si="7"/>
        <v>71.5</v>
      </c>
    </row>
    <row r="217" spans="1:10" x14ac:dyDescent="0.3">
      <c r="A217" s="1">
        <v>45922</v>
      </c>
      <c r="B217" t="s">
        <v>13</v>
      </c>
      <c r="C217" t="s">
        <v>23</v>
      </c>
      <c r="D217" t="str">
        <f t="shared" si="6"/>
        <v>F006Anand</v>
      </c>
      <c r="E217" t="s">
        <v>33</v>
      </c>
      <c r="F217">
        <v>18.350000000000001</v>
      </c>
      <c r="G217">
        <v>3.9</v>
      </c>
      <c r="H217">
        <v>8.1</v>
      </c>
      <c r="I217">
        <v>1244.1300000000001</v>
      </c>
      <c r="J217" s="4">
        <f t="shared" si="7"/>
        <v>67.8</v>
      </c>
    </row>
    <row r="218" spans="1:10" x14ac:dyDescent="0.3">
      <c r="A218" s="1">
        <v>45922</v>
      </c>
      <c r="B218" t="s">
        <v>14</v>
      </c>
      <c r="C218" t="s">
        <v>24</v>
      </c>
      <c r="D218" t="str">
        <f t="shared" si="6"/>
        <v>F007Savitha</v>
      </c>
      <c r="E218" t="s">
        <v>34</v>
      </c>
      <c r="F218">
        <v>14.88</v>
      </c>
      <c r="G218">
        <v>4</v>
      </c>
      <c r="H218">
        <v>8.1</v>
      </c>
      <c r="I218">
        <v>1019.28</v>
      </c>
      <c r="J218" s="4">
        <f t="shared" si="7"/>
        <v>68.5</v>
      </c>
    </row>
    <row r="219" spans="1:10" x14ac:dyDescent="0.3">
      <c r="A219" s="1">
        <v>45922</v>
      </c>
      <c r="B219" t="s">
        <v>15</v>
      </c>
      <c r="C219" t="s">
        <v>25</v>
      </c>
      <c r="D219" t="str">
        <f t="shared" si="6"/>
        <v>F008Prakash</v>
      </c>
      <c r="E219" t="s">
        <v>35</v>
      </c>
      <c r="F219">
        <v>13.24</v>
      </c>
      <c r="G219">
        <v>4.7</v>
      </c>
      <c r="H219">
        <v>8.6999999999999993</v>
      </c>
      <c r="I219">
        <v>1011.54</v>
      </c>
      <c r="J219" s="4">
        <f t="shared" si="7"/>
        <v>76.400302114803623</v>
      </c>
    </row>
    <row r="220" spans="1:10" x14ac:dyDescent="0.3">
      <c r="A220" s="1">
        <v>45922</v>
      </c>
      <c r="B220" t="s">
        <v>16</v>
      </c>
      <c r="C220" t="s">
        <v>26</v>
      </c>
      <c r="D220" t="str">
        <f t="shared" si="6"/>
        <v>F009Meena</v>
      </c>
      <c r="E220" t="s">
        <v>36</v>
      </c>
      <c r="F220">
        <v>18.96</v>
      </c>
      <c r="G220">
        <v>3.9</v>
      </c>
      <c r="H220">
        <v>8.6</v>
      </c>
      <c r="I220">
        <v>1332.89</v>
      </c>
      <c r="J220" s="4">
        <f t="shared" si="7"/>
        <v>70.300105485232066</v>
      </c>
    </row>
    <row r="221" spans="1:10" x14ac:dyDescent="0.3">
      <c r="A221" s="1">
        <v>45922</v>
      </c>
      <c r="B221" t="s">
        <v>17</v>
      </c>
      <c r="C221" t="s">
        <v>27</v>
      </c>
      <c r="D221" t="str">
        <f t="shared" si="6"/>
        <v>F010Ravi</v>
      </c>
      <c r="E221" t="s">
        <v>37</v>
      </c>
      <c r="F221">
        <v>12.74</v>
      </c>
      <c r="G221">
        <v>4.5</v>
      </c>
      <c r="H221">
        <v>8.6999999999999993</v>
      </c>
      <c r="I221">
        <v>955.5</v>
      </c>
      <c r="J221" s="4">
        <f t="shared" si="7"/>
        <v>75</v>
      </c>
    </row>
    <row r="222" spans="1:10" x14ac:dyDescent="0.3">
      <c r="A222" s="1">
        <v>45923</v>
      </c>
      <c r="B222" t="s">
        <v>8</v>
      </c>
      <c r="C222" t="s">
        <v>18</v>
      </c>
      <c r="D222" t="str">
        <f t="shared" si="6"/>
        <v>F001Ramesh</v>
      </c>
      <c r="E222" t="s">
        <v>28</v>
      </c>
      <c r="F222">
        <v>7.76</v>
      </c>
      <c r="G222">
        <v>4</v>
      </c>
      <c r="H222">
        <v>9.1</v>
      </c>
      <c r="I222">
        <v>570.36</v>
      </c>
      <c r="J222" s="4">
        <f t="shared" si="7"/>
        <v>73.5</v>
      </c>
    </row>
    <row r="223" spans="1:10" x14ac:dyDescent="0.3">
      <c r="A223" s="1">
        <v>45923</v>
      </c>
      <c r="B223" t="s">
        <v>9</v>
      </c>
      <c r="C223" t="s">
        <v>19</v>
      </c>
      <c r="D223" t="str">
        <f t="shared" si="6"/>
        <v>F002Lakshmi</v>
      </c>
      <c r="E223" t="s">
        <v>29</v>
      </c>
      <c r="F223">
        <v>16.91</v>
      </c>
      <c r="G223">
        <v>4</v>
      </c>
      <c r="H223">
        <v>8.8000000000000007</v>
      </c>
      <c r="I223">
        <v>1217.52</v>
      </c>
      <c r="J223" s="4">
        <f t="shared" si="7"/>
        <v>72</v>
      </c>
    </row>
    <row r="224" spans="1:10" x14ac:dyDescent="0.3">
      <c r="A224" s="1">
        <v>45923</v>
      </c>
      <c r="B224" t="s">
        <v>10</v>
      </c>
      <c r="C224" t="s">
        <v>20</v>
      </c>
      <c r="D224" t="str">
        <f t="shared" si="6"/>
        <v>F003Manjunath</v>
      </c>
      <c r="E224" t="s">
        <v>30</v>
      </c>
      <c r="F224">
        <v>12.51</v>
      </c>
      <c r="G224">
        <v>3.6</v>
      </c>
      <c r="H224">
        <v>8.3000000000000007</v>
      </c>
      <c r="I224">
        <v>834.42</v>
      </c>
      <c r="J224" s="4">
        <f t="shared" si="7"/>
        <v>66.700239808153469</v>
      </c>
    </row>
    <row r="225" spans="1:10" x14ac:dyDescent="0.3">
      <c r="A225" s="1">
        <v>45923</v>
      </c>
      <c r="B225" t="s">
        <v>11</v>
      </c>
      <c r="C225" t="s">
        <v>21</v>
      </c>
      <c r="D225" t="str">
        <f t="shared" si="6"/>
        <v>F004Suresh</v>
      </c>
      <c r="E225" t="s">
        <v>31</v>
      </c>
      <c r="F225">
        <v>15.98</v>
      </c>
      <c r="G225">
        <v>4</v>
      </c>
      <c r="H225">
        <v>8.3000000000000007</v>
      </c>
      <c r="I225">
        <v>1110.6099999999999</v>
      </c>
      <c r="J225" s="4">
        <f t="shared" si="7"/>
        <v>69.499999999999986</v>
      </c>
    </row>
    <row r="226" spans="1:10" x14ac:dyDescent="0.3">
      <c r="A226" s="1">
        <v>45923</v>
      </c>
      <c r="B226" t="s">
        <v>12</v>
      </c>
      <c r="C226" t="s">
        <v>22</v>
      </c>
      <c r="D226" t="str">
        <f t="shared" si="6"/>
        <v>F005Geetha</v>
      </c>
      <c r="E226" t="s">
        <v>32</v>
      </c>
      <c r="F226">
        <v>10.71</v>
      </c>
      <c r="G226">
        <v>4.7</v>
      </c>
      <c r="H226">
        <v>8.3000000000000007</v>
      </c>
      <c r="I226">
        <v>796.82</v>
      </c>
      <c r="J226" s="4">
        <f t="shared" si="7"/>
        <v>74.399626517273575</v>
      </c>
    </row>
    <row r="227" spans="1:10" x14ac:dyDescent="0.3">
      <c r="A227" s="1">
        <v>45923</v>
      </c>
      <c r="B227" t="s">
        <v>13</v>
      </c>
      <c r="C227" t="s">
        <v>23</v>
      </c>
      <c r="D227" t="str">
        <f t="shared" si="6"/>
        <v>F006Anand</v>
      </c>
      <c r="E227" t="s">
        <v>33</v>
      </c>
      <c r="F227">
        <v>10.68</v>
      </c>
      <c r="G227">
        <v>3.8</v>
      </c>
      <c r="H227">
        <v>9.3000000000000007</v>
      </c>
      <c r="I227">
        <v>780.71</v>
      </c>
      <c r="J227" s="4">
        <f t="shared" si="7"/>
        <v>73.100187265917612</v>
      </c>
    </row>
    <row r="228" spans="1:10" x14ac:dyDescent="0.3">
      <c r="A228" s="1">
        <v>45923</v>
      </c>
      <c r="B228" t="s">
        <v>14</v>
      </c>
      <c r="C228" t="s">
        <v>24</v>
      </c>
      <c r="D228" t="str">
        <f t="shared" si="6"/>
        <v>F007Savitha</v>
      </c>
      <c r="E228" t="s">
        <v>34</v>
      </c>
      <c r="F228">
        <v>19.3</v>
      </c>
      <c r="G228">
        <v>4.3</v>
      </c>
      <c r="H228">
        <v>8.3000000000000007</v>
      </c>
      <c r="I228">
        <v>1381.88</v>
      </c>
      <c r="J228" s="4">
        <f t="shared" si="7"/>
        <v>71.600000000000009</v>
      </c>
    </row>
    <row r="229" spans="1:10" x14ac:dyDescent="0.3">
      <c r="A229" s="1">
        <v>45923</v>
      </c>
      <c r="B229" t="s">
        <v>15</v>
      </c>
      <c r="C229" t="s">
        <v>25</v>
      </c>
      <c r="D229" t="str">
        <f t="shared" si="6"/>
        <v>F008Prakash</v>
      </c>
      <c r="E229" t="s">
        <v>35</v>
      </c>
      <c r="F229">
        <v>6.83</v>
      </c>
      <c r="G229">
        <v>4.2</v>
      </c>
      <c r="H229">
        <v>8.1</v>
      </c>
      <c r="I229">
        <v>477.42</v>
      </c>
      <c r="J229" s="4">
        <f t="shared" si="7"/>
        <v>69.900439238653007</v>
      </c>
    </row>
    <row r="230" spans="1:10" x14ac:dyDescent="0.3">
      <c r="A230" s="1">
        <v>45923</v>
      </c>
      <c r="B230" t="s">
        <v>16</v>
      </c>
      <c r="C230" t="s">
        <v>26</v>
      </c>
      <c r="D230" t="str">
        <f t="shared" si="6"/>
        <v>F009Meena</v>
      </c>
      <c r="E230" t="s">
        <v>36</v>
      </c>
      <c r="F230">
        <v>16.61</v>
      </c>
      <c r="G230">
        <v>4.4000000000000004</v>
      </c>
      <c r="H230">
        <v>8.6999999999999993</v>
      </c>
      <c r="I230">
        <v>1234.1199999999999</v>
      </c>
      <c r="J230" s="4">
        <f t="shared" si="7"/>
        <v>74.299819385912102</v>
      </c>
    </row>
    <row r="231" spans="1:10" x14ac:dyDescent="0.3">
      <c r="A231" s="1">
        <v>45923</v>
      </c>
      <c r="B231" t="s">
        <v>17</v>
      </c>
      <c r="C231" t="s">
        <v>27</v>
      </c>
      <c r="D231" t="str">
        <f t="shared" si="6"/>
        <v>F010Ravi</v>
      </c>
      <c r="E231" t="s">
        <v>37</v>
      </c>
      <c r="F231">
        <v>7.42</v>
      </c>
      <c r="G231">
        <v>4.4000000000000004</v>
      </c>
      <c r="H231">
        <v>9.5</v>
      </c>
      <c r="I231">
        <v>580.99</v>
      </c>
      <c r="J231" s="4">
        <f t="shared" si="7"/>
        <v>78.30053908355795</v>
      </c>
    </row>
    <row r="232" spans="1:10" x14ac:dyDescent="0.3">
      <c r="A232" s="1">
        <v>45924</v>
      </c>
      <c r="B232" t="s">
        <v>8</v>
      </c>
      <c r="C232" t="s">
        <v>18</v>
      </c>
      <c r="D232" t="str">
        <f t="shared" si="6"/>
        <v>F001Ramesh</v>
      </c>
      <c r="E232" t="s">
        <v>28</v>
      </c>
      <c r="F232">
        <v>11.73</v>
      </c>
      <c r="G232">
        <v>4.0999999999999996</v>
      </c>
      <c r="H232">
        <v>8.3000000000000007</v>
      </c>
      <c r="I232">
        <v>823.45</v>
      </c>
      <c r="J232" s="4">
        <f t="shared" si="7"/>
        <v>70.200341005967601</v>
      </c>
    </row>
    <row r="233" spans="1:10" x14ac:dyDescent="0.3">
      <c r="A233" s="1">
        <v>45924</v>
      </c>
      <c r="B233" t="s">
        <v>9</v>
      </c>
      <c r="C233" t="s">
        <v>19</v>
      </c>
      <c r="D233" t="str">
        <f t="shared" si="6"/>
        <v>F002Lakshmi</v>
      </c>
      <c r="E233" t="s">
        <v>29</v>
      </c>
      <c r="F233">
        <v>11.66</v>
      </c>
      <c r="G233">
        <v>3.7</v>
      </c>
      <c r="H233">
        <v>9.1</v>
      </c>
      <c r="I233">
        <v>832.52</v>
      </c>
      <c r="J233" s="4">
        <f t="shared" si="7"/>
        <v>71.399656946826752</v>
      </c>
    </row>
    <row r="234" spans="1:10" x14ac:dyDescent="0.3">
      <c r="A234" s="1">
        <v>45924</v>
      </c>
      <c r="B234" t="s">
        <v>10</v>
      </c>
      <c r="C234" t="s">
        <v>20</v>
      </c>
      <c r="D234" t="str">
        <f t="shared" si="6"/>
        <v>F003Manjunath</v>
      </c>
      <c r="E234" t="s">
        <v>30</v>
      </c>
      <c r="F234">
        <v>13.49</v>
      </c>
      <c r="G234">
        <v>4.9000000000000004</v>
      </c>
      <c r="H234">
        <v>9.1</v>
      </c>
      <c r="I234">
        <v>1076.5</v>
      </c>
      <c r="J234" s="4">
        <f t="shared" si="7"/>
        <v>79.799851742031137</v>
      </c>
    </row>
    <row r="235" spans="1:10" x14ac:dyDescent="0.3">
      <c r="A235" s="1">
        <v>45924</v>
      </c>
      <c r="B235" t="s">
        <v>11</v>
      </c>
      <c r="C235" t="s">
        <v>21</v>
      </c>
      <c r="D235" t="str">
        <f t="shared" si="6"/>
        <v>F004Suresh</v>
      </c>
      <c r="E235" t="s">
        <v>31</v>
      </c>
      <c r="F235">
        <v>5.18</v>
      </c>
      <c r="G235">
        <v>3.8</v>
      </c>
      <c r="H235">
        <v>8.5</v>
      </c>
      <c r="I235">
        <v>357.94</v>
      </c>
      <c r="J235" s="4">
        <f t="shared" si="7"/>
        <v>69.100386100386103</v>
      </c>
    </row>
    <row r="236" spans="1:10" x14ac:dyDescent="0.3">
      <c r="A236" s="1">
        <v>45924</v>
      </c>
      <c r="B236" t="s">
        <v>12</v>
      </c>
      <c r="C236" t="s">
        <v>22</v>
      </c>
      <c r="D236" t="str">
        <f t="shared" si="6"/>
        <v>F005Geetha</v>
      </c>
      <c r="E236" t="s">
        <v>32</v>
      </c>
      <c r="F236">
        <v>6.11</v>
      </c>
      <c r="G236">
        <v>4.8</v>
      </c>
      <c r="H236">
        <v>8.5</v>
      </c>
      <c r="I236">
        <v>464.97</v>
      </c>
      <c r="J236" s="4">
        <f t="shared" si="7"/>
        <v>76.099836333878883</v>
      </c>
    </row>
    <row r="237" spans="1:10" x14ac:dyDescent="0.3">
      <c r="A237" s="1">
        <v>45924</v>
      </c>
      <c r="B237" t="s">
        <v>13</v>
      </c>
      <c r="C237" t="s">
        <v>23</v>
      </c>
      <c r="D237" t="str">
        <f t="shared" si="6"/>
        <v>F006Anand</v>
      </c>
      <c r="E237" t="s">
        <v>33</v>
      </c>
      <c r="F237">
        <v>12.9</v>
      </c>
      <c r="G237">
        <v>3.8</v>
      </c>
      <c r="H237">
        <v>8.6999999999999993</v>
      </c>
      <c r="I237">
        <v>904.29</v>
      </c>
      <c r="J237" s="4">
        <f t="shared" si="7"/>
        <v>70.099999999999994</v>
      </c>
    </row>
    <row r="238" spans="1:10" x14ac:dyDescent="0.3">
      <c r="A238" s="1">
        <v>45924</v>
      </c>
      <c r="B238" t="s">
        <v>14</v>
      </c>
      <c r="C238" t="s">
        <v>24</v>
      </c>
      <c r="D238" t="str">
        <f t="shared" si="6"/>
        <v>F007Savitha</v>
      </c>
      <c r="E238" t="s">
        <v>34</v>
      </c>
      <c r="F238">
        <v>6.72</v>
      </c>
      <c r="G238">
        <v>3.9</v>
      </c>
      <c r="H238">
        <v>8.9</v>
      </c>
      <c r="I238">
        <v>482.5</v>
      </c>
      <c r="J238" s="4">
        <f t="shared" si="7"/>
        <v>71.800595238095241</v>
      </c>
    </row>
    <row r="239" spans="1:10" x14ac:dyDescent="0.3">
      <c r="A239" s="1">
        <v>45924</v>
      </c>
      <c r="B239" t="s">
        <v>15</v>
      </c>
      <c r="C239" t="s">
        <v>25</v>
      </c>
      <c r="D239" t="str">
        <f t="shared" si="6"/>
        <v>F008Prakash</v>
      </c>
      <c r="E239" t="s">
        <v>35</v>
      </c>
      <c r="F239">
        <v>15.68</v>
      </c>
      <c r="G239">
        <v>5</v>
      </c>
      <c r="H239">
        <v>9.1</v>
      </c>
      <c r="I239">
        <v>1262.24</v>
      </c>
      <c r="J239" s="4">
        <f t="shared" si="7"/>
        <v>80.5</v>
      </c>
    </row>
    <row r="240" spans="1:10" x14ac:dyDescent="0.3">
      <c r="A240" s="1">
        <v>45924</v>
      </c>
      <c r="B240" t="s">
        <v>16</v>
      </c>
      <c r="C240" t="s">
        <v>26</v>
      </c>
      <c r="D240" t="str">
        <f t="shared" si="6"/>
        <v>F009Meena</v>
      </c>
      <c r="E240" t="s">
        <v>36</v>
      </c>
      <c r="F240">
        <v>16.5</v>
      </c>
      <c r="G240">
        <v>3.5</v>
      </c>
      <c r="H240">
        <v>8.6999999999999993</v>
      </c>
      <c r="I240">
        <v>1122</v>
      </c>
      <c r="J240" s="4">
        <f t="shared" si="7"/>
        <v>68</v>
      </c>
    </row>
    <row r="241" spans="1:10" x14ac:dyDescent="0.3">
      <c r="A241" s="1">
        <v>45924</v>
      </c>
      <c r="B241" t="s">
        <v>17</v>
      </c>
      <c r="C241" t="s">
        <v>27</v>
      </c>
      <c r="D241" t="str">
        <f t="shared" si="6"/>
        <v>F010Ravi</v>
      </c>
      <c r="E241" t="s">
        <v>37</v>
      </c>
      <c r="F241">
        <v>5.07</v>
      </c>
      <c r="G241">
        <v>4.7</v>
      </c>
      <c r="H241">
        <v>8</v>
      </c>
      <c r="I241">
        <v>369.6</v>
      </c>
      <c r="J241" s="4">
        <f t="shared" si="7"/>
        <v>72.899408284023664</v>
      </c>
    </row>
    <row r="242" spans="1:10" x14ac:dyDescent="0.3">
      <c r="A242" s="1">
        <v>45925</v>
      </c>
      <c r="B242" t="s">
        <v>8</v>
      </c>
      <c r="C242" t="s">
        <v>18</v>
      </c>
      <c r="D242" t="str">
        <f t="shared" si="6"/>
        <v>F001Ramesh</v>
      </c>
      <c r="E242" t="s">
        <v>28</v>
      </c>
      <c r="F242">
        <v>14.7</v>
      </c>
      <c r="G242">
        <v>4.2</v>
      </c>
      <c r="H242">
        <v>8.3000000000000007</v>
      </c>
      <c r="I242">
        <v>1042.23</v>
      </c>
      <c r="J242" s="4">
        <f t="shared" si="7"/>
        <v>70.900000000000006</v>
      </c>
    </row>
    <row r="243" spans="1:10" x14ac:dyDescent="0.3">
      <c r="A243" s="1">
        <v>45925</v>
      </c>
      <c r="B243" t="s">
        <v>9</v>
      </c>
      <c r="C243" t="s">
        <v>19</v>
      </c>
      <c r="D243" t="str">
        <f t="shared" si="6"/>
        <v>F002Lakshmi</v>
      </c>
      <c r="E243" t="s">
        <v>29</v>
      </c>
      <c r="F243">
        <v>19.68</v>
      </c>
      <c r="G243">
        <v>4.2</v>
      </c>
      <c r="H243">
        <v>8.1999999999999993</v>
      </c>
      <c r="I243">
        <v>1385.47</v>
      </c>
      <c r="J243" s="4">
        <f t="shared" si="7"/>
        <v>70.399898373983746</v>
      </c>
    </row>
    <row r="244" spans="1:10" x14ac:dyDescent="0.3">
      <c r="A244" s="1">
        <v>45925</v>
      </c>
      <c r="B244" t="s">
        <v>10</v>
      </c>
      <c r="C244" t="s">
        <v>20</v>
      </c>
      <c r="D244" t="str">
        <f t="shared" si="6"/>
        <v>F003Manjunath</v>
      </c>
      <c r="E244" t="s">
        <v>30</v>
      </c>
      <c r="F244">
        <v>5.2</v>
      </c>
      <c r="G244">
        <v>3.8</v>
      </c>
      <c r="H244">
        <v>8.4</v>
      </c>
      <c r="I244">
        <v>356.72</v>
      </c>
      <c r="J244" s="4">
        <f t="shared" si="7"/>
        <v>68.600000000000009</v>
      </c>
    </row>
    <row r="245" spans="1:10" x14ac:dyDescent="0.3">
      <c r="A245" s="1">
        <v>45925</v>
      </c>
      <c r="B245" t="s">
        <v>11</v>
      </c>
      <c r="C245" t="s">
        <v>21</v>
      </c>
      <c r="D245" t="str">
        <f t="shared" si="6"/>
        <v>F004Suresh</v>
      </c>
      <c r="E245" t="s">
        <v>31</v>
      </c>
      <c r="F245">
        <v>19.36</v>
      </c>
      <c r="G245">
        <v>3.6</v>
      </c>
      <c r="H245">
        <v>8.1999999999999993</v>
      </c>
      <c r="I245">
        <v>1281.6300000000001</v>
      </c>
      <c r="J245" s="4">
        <f t="shared" si="7"/>
        <v>66.199896694214885</v>
      </c>
    </row>
    <row r="246" spans="1:10" x14ac:dyDescent="0.3">
      <c r="A246" s="1">
        <v>45925</v>
      </c>
      <c r="B246" t="s">
        <v>12</v>
      </c>
      <c r="C246" t="s">
        <v>22</v>
      </c>
      <c r="D246" t="str">
        <f t="shared" si="6"/>
        <v>F005Geetha</v>
      </c>
      <c r="E246" t="s">
        <v>32</v>
      </c>
      <c r="F246">
        <v>8.86</v>
      </c>
      <c r="G246">
        <v>4.4000000000000004</v>
      </c>
      <c r="H246">
        <v>8.3000000000000007</v>
      </c>
      <c r="I246">
        <v>640.58000000000004</v>
      </c>
      <c r="J246" s="4">
        <f t="shared" si="7"/>
        <v>72.300225733634321</v>
      </c>
    </row>
    <row r="247" spans="1:10" x14ac:dyDescent="0.3">
      <c r="A247" s="1">
        <v>45925</v>
      </c>
      <c r="B247" t="s">
        <v>13</v>
      </c>
      <c r="C247" t="s">
        <v>23</v>
      </c>
      <c r="D247" t="str">
        <f t="shared" si="6"/>
        <v>F006Anand</v>
      </c>
      <c r="E247" t="s">
        <v>33</v>
      </c>
      <c r="F247">
        <v>5.0199999999999996</v>
      </c>
      <c r="G247">
        <v>4.5</v>
      </c>
      <c r="H247">
        <v>8.4</v>
      </c>
      <c r="I247">
        <v>368.97</v>
      </c>
      <c r="J247" s="4">
        <f t="shared" si="7"/>
        <v>73.500000000000014</v>
      </c>
    </row>
    <row r="248" spans="1:10" x14ac:dyDescent="0.3">
      <c r="A248" s="1">
        <v>45925</v>
      </c>
      <c r="B248" t="s">
        <v>14</v>
      </c>
      <c r="C248" t="s">
        <v>24</v>
      </c>
      <c r="D248" t="str">
        <f t="shared" si="6"/>
        <v>F007Savitha</v>
      </c>
      <c r="E248" t="s">
        <v>34</v>
      </c>
      <c r="F248">
        <v>14.67</v>
      </c>
      <c r="G248">
        <v>4.2</v>
      </c>
      <c r="H248">
        <v>9.4</v>
      </c>
      <c r="I248">
        <v>1120.79</v>
      </c>
      <c r="J248" s="4">
        <f t="shared" si="7"/>
        <v>76.40013633265167</v>
      </c>
    </row>
    <row r="249" spans="1:10" x14ac:dyDescent="0.3">
      <c r="A249" s="1">
        <v>45925</v>
      </c>
      <c r="B249" t="s">
        <v>15</v>
      </c>
      <c r="C249" t="s">
        <v>25</v>
      </c>
      <c r="D249" t="str">
        <f t="shared" si="6"/>
        <v>F008Prakash</v>
      </c>
      <c r="E249" t="s">
        <v>35</v>
      </c>
      <c r="F249">
        <v>10.14</v>
      </c>
      <c r="G249">
        <v>4</v>
      </c>
      <c r="H249">
        <v>8.1999999999999993</v>
      </c>
      <c r="I249">
        <v>699.66</v>
      </c>
      <c r="J249" s="4">
        <f t="shared" si="7"/>
        <v>69</v>
      </c>
    </row>
    <row r="250" spans="1:10" x14ac:dyDescent="0.3">
      <c r="A250" s="1">
        <v>45925</v>
      </c>
      <c r="B250" t="s">
        <v>16</v>
      </c>
      <c r="C250" t="s">
        <v>26</v>
      </c>
      <c r="D250" t="str">
        <f t="shared" si="6"/>
        <v>F009Meena</v>
      </c>
      <c r="E250" t="s">
        <v>36</v>
      </c>
      <c r="F250">
        <v>9.64</v>
      </c>
      <c r="G250">
        <v>3.6</v>
      </c>
      <c r="H250">
        <v>8.6999999999999993</v>
      </c>
      <c r="I250">
        <v>662.27</v>
      </c>
      <c r="J250" s="4">
        <f t="shared" si="7"/>
        <v>68.700207468879668</v>
      </c>
    </row>
    <row r="251" spans="1:10" x14ac:dyDescent="0.3">
      <c r="A251" s="1">
        <v>45925</v>
      </c>
      <c r="B251" t="s">
        <v>17</v>
      </c>
      <c r="C251" t="s">
        <v>27</v>
      </c>
      <c r="D251" t="str">
        <f t="shared" si="6"/>
        <v>F010Ravi</v>
      </c>
      <c r="E251" t="s">
        <v>37</v>
      </c>
      <c r="F251">
        <v>7.42</v>
      </c>
      <c r="G251">
        <v>4.0999999999999996</v>
      </c>
      <c r="H251">
        <v>8.6</v>
      </c>
      <c r="I251">
        <v>532.01</v>
      </c>
      <c r="J251" s="4">
        <f t="shared" si="7"/>
        <v>71.69946091644205</v>
      </c>
    </row>
    <row r="252" spans="1:10" x14ac:dyDescent="0.3">
      <c r="A252" s="1">
        <v>45926</v>
      </c>
      <c r="B252" t="s">
        <v>8</v>
      </c>
      <c r="C252" t="s">
        <v>18</v>
      </c>
      <c r="D252" t="str">
        <f t="shared" si="6"/>
        <v>F001Ramesh</v>
      </c>
      <c r="E252" t="s">
        <v>28</v>
      </c>
      <c r="F252">
        <v>7.72</v>
      </c>
      <c r="G252">
        <v>4.8</v>
      </c>
      <c r="H252">
        <v>9.3000000000000007</v>
      </c>
      <c r="I252">
        <v>618.37</v>
      </c>
      <c r="J252" s="4">
        <f t="shared" si="7"/>
        <v>80.09974093264249</v>
      </c>
    </row>
    <row r="253" spans="1:10" x14ac:dyDescent="0.3">
      <c r="A253" s="1">
        <v>45926</v>
      </c>
      <c r="B253" t="s">
        <v>9</v>
      </c>
      <c r="C253" t="s">
        <v>19</v>
      </c>
      <c r="D253" t="str">
        <f t="shared" si="6"/>
        <v>F002Lakshmi</v>
      </c>
      <c r="E253" t="s">
        <v>29</v>
      </c>
      <c r="F253">
        <v>9.9600000000000009</v>
      </c>
      <c r="G253">
        <v>4</v>
      </c>
      <c r="H253">
        <v>9</v>
      </c>
      <c r="I253">
        <v>727.08</v>
      </c>
      <c r="J253" s="4">
        <f t="shared" si="7"/>
        <v>73</v>
      </c>
    </row>
    <row r="254" spans="1:10" x14ac:dyDescent="0.3">
      <c r="A254" s="1">
        <v>45926</v>
      </c>
      <c r="B254" t="s">
        <v>10</v>
      </c>
      <c r="C254" t="s">
        <v>20</v>
      </c>
      <c r="D254" t="str">
        <f t="shared" si="6"/>
        <v>F003Manjunath</v>
      </c>
      <c r="E254" t="s">
        <v>30</v>
      </c>
      <c r="F254">
        <v>19.2</v>
      </c>
      <c r="G254">
        <v>5</v>
      </c>
      <c r="H254">
        <v>9.1</v>
      </c>
      <c r="I254">
        <v>1545.6</v>
      </c>
      <c r="J254" s="4">
        <f t="shared" si="7"/>
        <v>80.5</v>
      </c>
    </row>
    <row r="255" spans="1:10" x14ac:dyDescent="0.3">
      <c r="A255" s="1">
        <v>45926</v>
      </c>
      <c r="B255" t="s">
        <v>11</v>
      </c>
      <c r="C255" t="s">
        <v>21</v>
      </c>
      <c r="D255" t="str">
        <f t="shared" si="6"/>
        <v>F004Suresh</v>
      </c>
      <c r="E255" t="s">
        <v>31</v>
      </c>
      <c r="F255">
        <v>8.65</v>
      </c>
      <c r="G255">
        <v>4.8</v>
      </c>
      <c r="H255">
        <v>8</v>
      </c>
      <c r="I255">
        <v>636.64</v>
      </c>
      <c r="J255" s="4">
        <f t="shared" si="7"/>
        <v>73.599999999999994</v>
      </c>
    </row>
    <row r="256" spans="1:10" x14ac:dyDescent="0.3">
      <c r="A256" s="1">
        <v>45926</v>
      </c>
      <c r="B256" t="s">
        <v>12</v>
      </c>
      <c r="C256" t="s">
        <v>22</v>
      </c>
      <c r="D256" t="str">
        <f t="shared" si="6"/>
        <v>F005Geetha</v>
      </c>
      <c r="E256" t="s">
        <v>32</v>
      </c>
      <c r="F256">
        <v>14.2</v>
      </c>
      <c r="G256">
        <v>3.6</v>
      </c>
      <c r="H256">
        <v>8.1</v>
      </c>
      <c r="I256">
        <v>932.94</v>
      </c>
      <c r="J256" s="4">
        <f t="shared" si="7"/>
        <v>65.7</v>
      </c>
    </row>
    <row r="257" spans="1:10" x14ac:dyDescent="0.3">
      <c r="A257" s="1">
        <v>45926</v>
      </c>
      <c r="B257" t="s">
        <v>13</v>
      </c>
      <c r="C257" t="s">
        <v>23</v>
      </c>
      <c r="D257" t="str">
        <f t="shared" si="6"/>
        <v>F006Anand</v>
      </c>
      <c r="E257" t="s">
        <v>33</v>
      </c>
      <c r="F257">
        <v>10.54</v>
      </c>
      <c r="G257">
        <v>4</v>
      </c>
      <c r="H257">
        <v>8.6</v>
      </c>
      <c r="I257">
        <v>748.34</v>
      </c>
      <c r="J257" s="4">
        <f t="shared" si="7"/>
        <v>71.000000000000014</v>
      </c>
    </row>
    <row r="258" spans="1:10" x14ac:dyDescent="0.3">
      <c r="A258" s="1">
        <v>45926</v>
      </c>
      <c r="B258" t="s">
        <v>14</v>
      </c>
      <c r="C258" t="s">
        <v>24</v>
      </c>
      <c r="D258" t="str">
        <f t="shared" ref="D258:D301" si="8">_xlfn.CONCAT(B258,C258)</f>
        <v>F007Savitha</v>
      </c>
      <c r="E258" t="s">
        <v>34</v>
      </c>
      <c r="F258">
        <v>16.829999999999998</v>
      </c>
      <c r="G258">
        <v>3.6</v>
      </c>
      <c r="H258">
        <v>9</v>
      </c>
      <c r="I258">
        <v>1181.47</v>
      </c>
      <c r="J258" s="4">
        <f t="shared" si="7"/>
        <v>70.200237670825913</v>
      </c>
    </row>
    <row r="259" spans="1:10" x14ac:dyDescent="0.3">
      <c r="A259" s="1">
        <v>45926</v>
      </c>
      <c r="B259" t="s">
        <v>15</v>
      </c>
      <c r="C259" t="s">
        <v>25</v>
      </c>
      <c r="D259" t="str">
        <f t="shared" si="8"/>
        <v>F008Prakash</v>
      </c>
      <c r="E259" t="s">
        <v>35</v>
      </c>
      <c r="F259">
        <v>18.18</v>
      </c>
      <c r="G259">
        <v>3.9</v>
      </c>
      <c r="H259">
        <v>8.5</v>
      </c>
      <c r="I259">
        <v>1268.96</v>
      </c>
      <c r="J259" s="4">
        <f t="shared" ref="J259:J301" si="9">I259/F259</f>
        <v>69.799779977997801</v>
      </c>
    </row>
    <row r="260" spans="1:10" x14ac:dyDescent="0.3">
      <c r="A260" s="1">
        <v>45926</v>
      </c>
      <c r="B260" t="s">
        <v>16</v>
      </c>
      <c r="C260" t="s">
        <v>26</v>
      </c>
      <c r="D260" t="str">
        <f t="shared" si="8"/>
        <v>F009Meena</v>
      </c>
      <c r="E260" t="s">
        <v>36</v>
      </c>
      <c r="F260">
        <v>10.46</v>
      </c>
      <c r="G260">
        <v>4</v>
      </c>
      <c r="H260">
        <v>9.3000000000000007</v>
      </c>
      <c r="I260">
        <v>779.27</v>
      </c>
      <c r="J260" s="4">
        <f t="shared" si="9"/>
        <v>74.499999999999986</v>
      </c>
    </row>
    <row r="261" spans="1:10" x14ac:dyDescent="0.3">
      <c r="A261" s="1">
        <v>45926</v>
      </c>
      <c r="B261" t="s">
        <v>17</v>
      </c>
      <c r="C261" t="s">
        <v>27</v>
      </c>
      <c r="D261" t="str">
        <f t="shared" si="8"/>
        <v>F010Ravi</v>
      </c>
      <c r="E261" t="s">
        <v>37</v>
      </c>
      <c r="F261">
        <v>13.52</v>
      </c>
      <c r="G261">
        <v>4.4000000000000004</v>
      </c>
      <c r="H261">
        <v>8.1</v>
      </c>
      <c r="I261">
        <v>963.98</v>
      </c>
      <c r="J261" s="4">
        <f t="shared" si="9"/>
        <v>71.300295857988175</v>
      </c>
    </row>
    <row r="262" spans="1:10" x14ac:dyDescent="0.3">
      <c r="A262" s="1">
        <v>45927</v>
      </c>
      <c r="B262" t="s">
        <v>8</v>
      </c>
      <c r="C262" t="s">
        <v>18</v>
      </c>
      <c r="D262" t="str">
        <f t="shared" si="8"/>
        <v>F001Ramesh</v>
      </c>
      <c r="E262" t="s">
        <v>28</v>
      </c>
      <c r="F262">
        <v>18.47</v>
      </c>
      <c r="G262">
        <v>3.9</v>
      </c>
      <c r="H262">
        <v>8.6999999999999993</v>
      </c>
      <c r="I262">
        <v>1307.68</v>
      </c>
      <c r="J262" s="4">
        <f t="shared" si="9"/>
        <v>70.800216567406608</v>
      </c>
    </row>
    <row r="263" spans="1:10" x14ac:dyDescent="0.3">
      <c r="A263" s="1">
        <v>45927</v>
      </c>
      <c r="B263" t="s">
        <v>9</v>
      </c>
      <c r="C263" t="s">
        <v>19</v>
      </c>
      <c r="D263" t="str">
        <f t="shared" si="8"/>
        <v>F002Lakshmi</v>
      </c>
      <c r="E263" t="s">
        <v>29</v>
      </c>
      <c r="F263">
        <v>14.76</v>
      </c>
      <c r="G263">
        <v>3.6</v>
      </c>
      <c r="H263">
        <v>9</v>
      </c>
      <c r="I263">
        <v>1036.1500000000001</v>
      </c>
      <c r="J263" s="4">
        <f t="shared" si="9"/>
        <v>70.199864498644999</v>
      </c>
    </row>
    <row r="264" spans="1:10" x14ac:dyDescent="0.3">
      <c r="A264" s="1">
        <v>45927</v>
      </c>
      <c r="B264" t="s">
        <v>10</v>
      </c>
      <c r="C264" t="s">
        <v>20</v>
      </c>
      <c r="D264" t="str">
        <f t="shared" si="8"/>
        <v>F003Manjunath</v>
      </c>
      <c r="E264" t="s">
        <v>30</v>
      </c>
      <c r="F264">
        <v>10.58</v>
      </c>
      <c r="G264">
        <v>4.5</v>
      </c>
      <c r="H264">
        <v>8.4</v>
      </c>
      <c r="I264">
        <v>777.63</v>
      </c>
      <c r="J264" s="4">
        <f t="shared" si="9"/>
        <v>73.5</v>
      </c>
    </row>
    <row r="265" spans="1:10" x14ac:dyDescent="0.3">
      <c r="A265" s="1">
        <v>45927</v>
      </c>
      <c r="B265" t="s">
        <v>11</v>
      </c>
      <c r="C265" t="s">
        <v>21</v>
      </c>
      <c r="D265" t="str">
        <f t="shared" si="8"/>
        <v>F004Suresh</v>
      </c>
      <c r="E265" t="s">
        <v>31</v>
      </c>
      <c r="F265">
        <v>14.38</v>
      </c>
      <c r="G265">
        <v>4</v>
      </c>
      <c r="H265">
        <v>8.8000000000000007</v>
      </c>
      <c r="I265">
        <v>1035.3599999999999</v>
      </c>
      <c r="J265" s="4">
        <f t="shared" si="9"/>
        <v>71.999999999999986</v>
      </c>
    </row>
    <row r="266" spans="1:10" x14ac:dyDescent="0.3">
      <c r="A266" s="1">
        <v>45927</v>
      </c>
      <c r="B266" t="s">
        <v>12</v>
      </c>
      <c r="C266" t="s">
        <v>22</v>
      </c>
      <c r="D266" t="str">
        <f t="shared" si="8"/>
        <v>F005Geetha</v>
      </c>
      <c r="E266" t="s">
        <v>32</v>
      </c>
      <c r="F266">
        <v>5.2</v>
      </c>
      <c r="G266">
        <v>3.7</v>
      </c>
      <c r="H266">
        <v>8.6</v>
      </c>
      <c r="I266">
        <v>358.28</v>
      </c>
      <c r="J266" s="4">
        <f t="shared" si="9"/>
        <v>68.899999999999991</v>
      </c>
    </row>
    <row r="267" spans="1:10" x14ac:dyDescent="0.3">
      <c r="A267" s="1">
        <v>45927</v>
      </c>
      <c r="B267" t="s">
        <v>13</v>
      </c>
      <c r="C267" t="s">
        <v>23</v>
      </c>
      <c r="D267" t="str">
        <f t="shared" si="8"/>
        <v>F006Anand</v>
      </c>
      <c r="E267" t="s">
        <v>33</v>
      </c>
      <c r="F267">
        <v>12.31</v>
      </c>
      <c r="G267">
        <v>4.9000000000000004</v>
      </c>
      <c r="H267">
        <v>8.9</v>
      </c>
      <c r="I267">
        <v>970.03</v>
      </c>
      <c r="J267" s="4">
        <f t="shared" si="9"/>
        <v>78.800162469536957</v>
      </c>
    </row>
    <row r="268" spans="1:10" x14ac:dyDescent="0.3">
      <c r="A268" s="1">
        <v>45927</v>
      </c>
      <c r="B268" t="s">
        <v>14</v>
      </c>
      <c r="C268" t="s">
        <v>24</v>
      </c>
      <c r="D268" t="str">
        <f t="shared" si="8"/>
        <v>F007Savitha</v>
      </c>
      <c r="E268" t="s">
        <v>34</v>
      </c>
      <c r="F268">
        <v>11.86</v>
      </c>
      <c r="G268">
        <v>4.4000000000000004</v>
      </c>
      <c r="H268">
        <v>9</v>
      </c>
      <c r="I268">
        <v>898.99</v>
      </c>
      <c r="J268" s="4">
        <f t="shared" si="9"/>
        <v>75.800168634064079</v>
      </c>
    </row>
    <row r="269" spans="1:10" x14ac:dyDescent="0.3">
      <c r="A269" s="1">
        <v>45927</v>
      </c>
      <c r="B269" t="s">
        <v>15</v>
      </c>
      <c r="C269" t="s">
        <v>25</v>
      </c>
      <c r="D269" t="str">
        <f t="shared" si="8"/>
        <v>F008Prakash</v>
      </c>
      <c r="E269" t="s">
        <v>35</v>
      </c>
      <c r="F269">
        <v>7.87</v>
      </c>
      <c r="G269">
        <v>4.2</v>
      </c>
      <c r="H269">
        <v>8</v>
      </c>
      <c r="I269">
        <v>546.17999999999995</v>
      </c>
      <c r="J269" s="4">
        <f t="shared" si="9"/>
        <v>69.400254129606097</v>
      </c>
    </row>
    <row r="270" spans="1:10" x14ac:dyDescent="0.3">
      <c r="A270" s="1">
        <v>45927</v>
      </c>
      <c r="B270" t="s">
        <v>16</v>
      </c>
      <c r="C270" t="s">
        <v>26</v>
      </c>
      <c r="D270" t="str">
        <f t="shared" si="8"/>
        <v>F009Meena</v>
      </c>
      <c r="E270" t="s">
        <v>36</v>
      </c>
      <c r="F270">
        <v>13.49</v>
      </c>
      <c r="G270">
        <v>3.9</v>
      </c>
      <c r="H270">
        <v>8.8000000000000007</v>
      </c>
      <c r="I270">
        <v>961.84</v>
      </c>
      <c r="J270" s="4">
        <f t="shared" si="9"/>
        <v>71.300222386953294</v>
      </c>
    </row>
    <row r="271" spans="1:10" x14ac:dyDescent="0.3">
      <c r="A271" s="1">
        <v>45927</v>
      </c>
      <c r="B271" t="s">
        <v>17</v>
      </c>
      <c r="C271" t="s">
        <v>27</v>
      </c>
      <c r="D271" t="str">
        <f t="shared" si="8"/>
        <v>F010Ravi</v>
      </c>
      <c r="E271" t="s">
        <v>37</v>
      </c>
      <c r="F271">
        <v>16.37</v>
      </c>
      <c r="G271">
        <v>5</v>
      </c>
      <c r="H271">
        <v>8.5</v>
      </c>
      <c r="I271">
        <v>1268.68</v>
      </c>
      <c r="J271" s="4">
        <f t="shared" si="9"/>
        <v>77.500305436774582</v>
      </c>
    </row>
    <row r="272" spans="1:10" x14ac:dyDescent="0.3">
      <c r="A272" s="1">
        <v>45928</v>
      </c>
      <c r="B272" t="s">
        <v>8</v>
      </c>
      <c r="C272" t="s">
        <v>18</v>
      </c>
      <c r="D272" t="str">
        <f t="shared" si="8"/>
        <v>F001Ramesh</v>
      </c>
      <c r="E272" t="s">
        <v>28</v>
      </c>
      <c r="F272">
        <v>12.71</v>
      </c>
      <c r="G272">
        <v>4.8</v>
      </c>
      <c r="H272">
        <v>8.8000000000000007</v>
      </c>
      <c r="I272">
        <v>986.3</v>
      </c>
      <c r="J272" s="4">
        <f t="shared" si="9"/>
        <v>77.600314712824542</v>
      </c>
    </row>
    <row r="273" spans="1:10" x14ac:dyDescent="0.3">
      <c r="A273" s="1">
        <v>45928</v>
      </c>
      <c r="B273" t="s">
        <v>9</v>
      </c>
      <c r="C273" t="s">
        <v>19</v>
      </c>
      <c r="D273" t="str">
        <f t="shared" si="8"/>
        <v>F002Lakshmi</v>
      </c>
      <c r="E273" t="s">
        <v>29</v>
      </c>
      <c r="F273">
        <v>13.19</v>
      </c>
      <c r="G273">
        <v>3.7</v>
      </c>
      <c r="H273">
        <v>8.6999999999999993</v>
      </c>
      <c r="I273">
        <v>915.39</v>
      </c>
      <c r="J273" s="4">
        <f t="shared" si="9"/>
        <v>69.40030326004549</v>
      </c>
    </row>
    <row r="274" spans="1:10" x14ac:dyDescent="0.3">
      <c r="A274" s="1">
        <v>45928</v>
      </c>
      <c r="B274" t="s">
        <v>10</v>
      </c>
      <c r="C274" t="s">
        <v>20</v>
      </c>
      <c r="D274" t="str">
        <f t="shared" si="8"/>
        <v>F003Manjunath</v>
      </c>
      <c r="E274" t="s">
        <v>30</v>
      </c>
      <c r="F274">
        <v>15.33</v>
      </c>
      <c r="G274">
        <v>5</v>
      </c>
      <c r="H274">
        <v>8.6</v>
      </c>
      <c r="I274">
        <v>1195.74</v>
      </c>
      <c r="J274" s="4">
        <f t="shared" si="9"/>
        <v>78</v>
      </c>
    </row>
    <row r="275" spans="1:10" x14ac:dyDescent="0.3">
      <c r="A275" s="1">
        <v>45928</v>
      </c>
      <c r="B275" t="s">
        <v>11</v>
      </c>
      <c r="C275" t="s">
        <v>21</v>
      </c>
      <c r="D275" t="str">
        <f t="shared" si="8"/>
        <v>F004Suresh</v>
      </c>
      <c r="E275" t="s">
        <v>31</v>
      </c>
      <c r="F275">
        <v>10.75</v>
      </c>
      <c r="G275">
        <v>4.0999999999999996</v>
      </c>
      <c r="H275">
        <v>9.1999999999999993</v>
      </c>
      <c r="I275">
        <v>803.02</v>
      </c>
      <c r="J275" s="4">
        <f t="shared" si="9"/>
        <v>74.699534883720929</v>
      </c>
    </row>
    <row r="276" spans="1:10" x14ac:dyDescent="0.3">
      <c r="A276" s="1">
        <v>45928</v>
      </c>
      <c r="B276" t="s">
        <v>12</v>
      </c>
      <c r="C276" t="s">
        <v>22</v>
      </c>
      <c r="D276" t="str">
        <f t="shared" si="8"/>
        <v>F005Geetha</v>
      </c>
      <c r="E276" t="s">
        <v>32</v>
      </c>
      <c r="F276">
        <v>14.44</v>
      </c>
      <c r="G276">
        <v>4.9000000000000004</v>
      </c>
      <c r="H276">
        <v>9.1999999999999993</v>
      </c>
      <c r="I276">
        <v>1159.53</v>
      </c>
      <c r="J276" s="4">
        <f t="shared" si="9"/>
        <v>80.29986149584488</v>
      </c>
    </row>
    <row r="277" spans="1:10" x14ac:dyDescent="0.3">
      <c r="A277" s="1">
        <v>45928</v>
      </c>
      <c r="B277" t="s">
        <v>13</v>
      </c>
      <c r="C277" t="s">
        <v>23</v>
      </c>
      <c r="D277" t="str">
        <f t="shared" si="8"/>
        <v>F006Anand</v>
      </c>
      <c r="E277" t="s">
        <v>33</v>
      </c>
      <c r="F277">
        <v>7.03</v>
      </c>
      <c r="G277">
        <v>3.7</v>
      </c>
      <c r="H277">
        <v>8.8000000000000007</v>
      </c>
      <c r="I277">
        <v>491.4</v>
      </c>
      <c r="J277" s="4">
        <f t="shared" si="9"/>
        <v>69.900426742532005</v>
      </c>
    </row>
    <row r="278" spans="1:10" x14ac:dyDescent="0.3">
      <c r="A278" s="1">
        <v>45928</v>
      </c>
      <c r="B278" t="s">
        <v>14</v>
      </c>
      <c r="C278" t="s">
        <v>24</v>
      </c>
      <c r="D278" t="str">
        <f t="shared" si="8"/>
        <v>F007Savitha</v>
      </c>
      <c r="E278" t="s">
        <v>34</v>
      </c>
      <c r="F278">
        <v>9.9499999999999993</v>
      </c>
      <c r="G278">
        <v>3.9</v>
      </c>
      <c r="H278">
        <v>8.8000000000000007</v>
      </c>
      <c r="I278">
        <v>709.43</v>
      </c>
      <c r="J278" s="4">
        <f t="shared" si="9"/>
        <v>71.299497487437179</v>
      </c>
    </row>
    <row r="279" spans="1:10" x14ac:dyDescent="0.3">
      <c r="A279" s="1">
        <v>45928</v>
      </c>
      <c r="B279" t="s">
        <v>15</v>
      </c>
      <c r="C279" t="s">
        <v>25</v>
      </c>
      <c r="D279" t="str">
        <f t="shared" si="8"/>
        <v>F008Prakash</v>
      </c>
      <c r="E279" t="s">
        <v>35</v>
      </c>
      <c r="F279">
        <v>15.27</v>
      </c>
      <c r="G279">
        <v>4.7</v>
      </c>
      <c r="H279">
        <v>9.5</v>
      </c>
      <c r="I279">
        <v>1227.71</v>
      </c>
      <c r="J279" s="4">
        <f t="shared" si="9"/>
        <v>80.400130975769486</v>
      </c>
    </row>
    <row r="280" spans="1:10" x14ac:dyDescent="0.3">
      <c r="A280" s="1">
        <v>45928</v>
      </c>
      <c r="B280" t="s">
        <v>16</v>
      </c>
      <c r="C280" t="s">
        <v>26</v>
      </c>
      <c r="D280" t="str">
        <f t="shared" si="8"/>
        <v>F009Meena</v>
      </c>
      <c r="E280" t="s">
        <v>36</v>
      </c>
      <c r="F280">
        <v>5.22</v>
      </c>
      <c r="G280">
        <v>4.5</v>
      </c>
      <c r="H280">
        <v>8.9</v>
      </c>
      <c r="I280">
        <v>396.72</v>
      </c>
      <c r="J280" s="4">
        <f t="shared" si="9"/>
        <v>76.000000000000014</v>
      </c>
    </row>
    <row r="281" spans="1:10" x14ac:dyDescent="0.3">
      <c r="A281" s="1">
        <v>45928</v>
      </c>
      <c r="B281" t="s">
        <v>17</v>
      </c>
      <c r="C281" t="s">
        <v>27</v>
      </c>
      <c r="D281" t="str">
        <f t="shared" si="8"/>
        <v>F010Ravi</v>
      </c>
      <c r="E281" t="s">
        <v>37</v>
      </c>
      <c r="F281">
        <v>9.8699999999999992</v>
      </c>
      <c r="G281">
        <v>3.9</v>
      </c>
      <c r="H281">
        <v>9.1999999999999993</v>
      </c>
      <c r="I281">
        <v>723.47</v>
      </c>
      <c r="J281" s="4">
        <f t="shared" si="9"/>
        <v>73.299898682877412</v>
      </c>
    </row>
    <row r="282" spans="1:10" x14ac:dyDescent="0.3">
      <c r="A282" s="1">
        <v>45929</v>
      </c>
      <c r="B282" t="s">
        <v>8</v>
      </c>
      <c r="C282" t="s">
        <v>18</v>
      </c>
      <c r="D282" t="str">
        <f t="shared" si="8"/>
        <v>F001Ramesh</v>
      </c>
      <c r="E282" t="s">
        <v>28</v>
      </c>
      <c r="F282">
        <v>17.239999999999998</v>
      </c>
      <c r="G282">
        <v>4.7</v>
      </c>
      <c r="H282">
        <v>8.8000000000000007</v>
      </c>
      <c r="I282">
        <v>1325.76</v>
      </c>
      <c r="J282" s="4">
        <f t="shared" si="9"/>
        <v>76.900232018561496</v>
      </c>
    </row>
    <row r="283" spans="1:10" x14ac:dyDescent="0.3">
      <c r="A283" s="1">
        <v>45929</v>
      </c>
      <c r="B283" t="s">
        <v>9</v>
      </c>
      <c r="C283" t="s">
        <v>19</v>
      </c>
      <c r="D283" t="str">
        <f t="shared" si="8"/>
        <v>F002Lakshmi</v>
      </c>
      <c r="E283" t="s">
        <v>29</v>
      </c>
      <c r="F283">
        <v>14.69</v>
      </c>
      <c r="G283">
        <v>4.0999999999999996</v>
      </c>
      <c r="H283">
        <v>8.6</v>
      </c>
      <c r="I283">
        <v>1053.27</v>
      </c>
      <c r="J283" s="4">
        <f t="shared" si="9"/>
        <v>71.6997957794418</v>
      </c>
    </row>
    <row r="284" spans="1:10" x14ac:dyDescent="0.3">
      <c r="A284" s="1">
        <v>45929</v>
      </c>
      <c r="B284" t="s">
        <v>10</v>
      </c>
      <c r="C284" t="s">
        <v>20</v>
      </c>
      <c r="D284" t="str">
        <f t="shared" si="8"/>
        <v>F003Manjunath</v>
      </c>
      <c r="E284" t="s">
        <v>30</v>
      </c>
      <c r="F284">
        <v>18.53</v>
      </c>
      <c r="G284">
        <v>4.2</v>
      </c>
      <c r="H284">
        <v>9.1</v>
      </c>
      <c r="I284">
        <v>1387.9</v>
      </c>
      <c r="J284" s="4">
        <f t="shared" si="9"/>
        <v>74.900161899622233</v>
      </c>
    </row>
    <row r="285" spans="1:10" x14ac:dyDescent="0.3">
      <c r="A285" s="1">
        <v>45929</v>
      </c>
      <c r="B285" t="s">
        <v>11</v>
      </c>
      <c r="C285" t="s">
        <v>21</v>
      </c>
      <c r="D285" t="str">
        <f t="shared" si="8"/>
        <v>F004Suresh</v>
      </c>
      <c r="E285" t="s">
        <v>31</v>
      </c>
      <c r="F285">
        <v>17.22</v>
      </c>
      <c r="G285">
        <v>4.3</v>
      </c>
      <c r="H285">
        <v>8.4</v>
      </c>
      <c r="I285">
        <v>1241.56</v>
      </c>
      <c r="J285" s="4">
        <f t="shared" si="9"/>
        <v>72.099883855981417</v>
      </c>
    </row>
    <row r="286" spans="1:10" x14ac:dyDescent="0.3">
      <c r="A286" s="1">
        <v>45929</v>
      </c>
      <c r="B286" t="s">
        <v>12</v>
      </c>
      <c r="C286" t="s">
        <v>22</v>
      </c>
      <c r="D286" t="str">
        <f t="shared" si="8"/>
        <v>F005Geetha</v>
      </c>
      <c r="E286" t="s">
        <v>32</v>
      </c>
      <c r="F286">
        <v>15.15</v>
      </c>
      <c r="G286">
        <v>4.9000000000000004</v>
      </c>
      <c r="H286">
        <v>8.8000000000000007</v>
      </c>
      <c r="I286">
        <v>1186.25</v>
      </c>
      <c r="J286" s="4">
        <f t="shared" si="9"/>
        <v>78.300330033003291</v>
      </c>
    </row>
    <row r="287" spans="1:10" x14ac:dyDescent="0.3">
      <c r="A287" s="1">
        <v>45929</v>
      </c>
      <c r="B287" t="s">
        <v>13</v>
      </c>
      <c r="C287" t="s">
        <v>23</v>
      </c>
      <c r="D287" t="str">
        <f t="shared" si="8"/>
        <v>F006Anand</v>
      </c>
      <c r="E287" t="s">
        <v>33</v>
      </c>
      <c r="F287">
        <v>7.4</v>
      </c>
      <c r="G287">
        <v>4.0999999999999996</v>
      </c>
      <c r="H287">
        <v>8.8000000000000007</v>
      </c>
      <c r="I287">
        <v>537.98</v>
      </c>
      <c r="J287" s="4">
        <f t="shared" si="9"/>
        <v>72.7</v>
      </c>
    </row>
    <row r="288" spans="1:10" x14ac:dyDescent="0.3">
      <c r="A288" s="1">
        <v>45929</v>
      </c>
      <c r="B288" t="s">
        <v>14</v>
      </c>
      <c r="C288" t="s">
        <v>24</v>
      </c>
      <c r="D288" t="str">
        <f t="shared" si="8"/>
        <v>F007Savitha</v>
      </c>
      <c r="E288" t="s">
        <v>34</v>
      </c>
      <c r="F288">
        <v>13.46</v>
      </c>
      <c r="G288">
        <v>4.9000000000000004</v>
      </c>
      <c r="H288">
        <v>8.6</v>
      </c>
      <c r="I288">
        <v>1040.46</v>
      </c>
      <c r="J288" s="4">
        <f t="shared" si="9"/>
        <v>77.300148588410096</v>
      </c>
    </row>
    <row r="289" spans="1:10" x14ac:dyDescent="0.3">
      <c r="A289" s="1">
        <v>45929</v>
      </c>
      <c r="B289" t="s">
        <v>15</v>
      </c>
      <c r="C289" t="s">
        <v>25</v>
      </c>
      <c r="D289" t="str">
        <f t="shared" si="8"/>
        <v>F008Prakash</v>
      </c>
      <c r="E289" t="s">
        <v>35</v>
      </c>
      <c r="F289">
        <v>15.49</v>
      </c>
      <c r="G289">
        <v>4.4000000000000004</v>
      </c>
      <c r="H289">
        <v>8.6999999999999993</v>
      </c>
      <c r="I289">
        <v>1150.9100000000001</v>
      </c>
      <c r="J289" s="4">
        <f t="shared" si="9"/>
        <v>74.300193673337645</v>
      </c>
    </row>
    <row r="290" spans="1:10" x14ac:dyDescent="0.3">
      <c r="A290" s="1">
        <v>45929</v>
      </c>
      <c r="B290" t="s">
        <v>16</v>
      </c>
      <c r="C290" t="s">
        <v>26</v>
      </c>
      <c r="D290" t="str">
        <f t="shared" si="8"/>
        <v>F009Meena</v>
      </c>
      <c r="E290" t="s">
        <v>36</v>
      </c>
      <c r="F290">
        <v>7.21</v>
      </c>
      <c r="G290">
        <v>4.0999999999999996</v>
      </c>
      <c r="H290">
        <v>9.1999999999999993</v>
      </c>
      <c r="I290">
        <v>538.59</v>
      </c>
      <c r="J290" s="4">
        <f t="shared" si="9"/>
        <v>74.700416088765607</v>
      </c>
    </row>
    <row r="291" spans="1:10" x14ac:dyDescent="0.3">
      <c r="A291" s="1">
        <v>45929</v>
      </c>
      <c r="B291" t="s">
        <v>17</v>
      </c>
      <c r="C291" t="s">
        <v>27</v>
      </c>
      <c r="D291" t="str">
        <f t="shared" si="8"/>
        <v>F010Ravi</v>
      </c>
      <c r="E291" t="s">
        <v>37</v>
      </c>
      <c r="F291">
        <v>14.58</v>
      </c>
      <c r="G291">
        <v>3.9</v>
      </c>
      <c r="H291">
        <v>8</v>
      </c>
      <c r="I291">
        <v>981.23</v>
      </c>
      <c r="J291" s="4">
        <f t="shared" si="9"/>
        <v>67.299725651577504</v>
      </c>
    </row>
    <row r="292" spans="1:10" x14ac:dyDescent="0.3">
      <c r="A292" s="1">
        <v>45930</v>
      </c>
      <c r="B292" t="s">
        <v>8</v>
      </c>
      <c r="C292" t="s">
        <v>18</v>
      </c>
      <c r="D292" t="str">
        <f t="shared" si="8"/>
        <v>F001Ramesh</v>
      </c>
      <c r="E292" t="s">
        <v>28</v>
      </c>
      <c r="F292">
        <v>6.67</v>
      </c>
      <c r="G292">
        <v>4.3</v>
      </c>
      <c r="H292">
        <v>9</v>
      </c>
      <c r="I292">
        <v>500.92</v>
      </c>
      <c r="J292" s="4">
        <f t="shared" si="9"/>
        <v>75.100449775112452</v>
      </c>
    </row>
    <row r="293" spans="1:10" x14ac:dyDescent="0.3">
      <c r="A293" s="1">
        <v>45930</v>
      </c>
      <c r="B293" t="s">
        <v>9</v>
      </c>
      <c r="C293" t="s">
        <v>19</v>
      </c>
      <c r="D293" t="str">
        <f t="shared" si="8"/>
        <v>F002Lakshmi</v>
      </c>
      <c r="E293" t="s">
        <v>29</v>
      </c>
      <c r="F293">
        <v>18.75</v>
      </c>
      <c r="G293">
        <v>3.6</v>
      </c>
      <c r="H293">
        <v>8.4</v>
      </c>
      <c r="I293">
        <v>1260</v>
      </c>
      <c r="J293" s="4">
        <f t="shared" si="9"/>
        <v>67.2</v>
      </c>
    </row>
    <row r="294" spans="1:10" x14ac:dyDescent="0.3">
      <c r="A294" s="1">
        <v>45930</v>
      </c>
      <c r="B294" t="s">
        <v>10</v>
      </c>
      <c r="C294" t="s">
        <v>20</v>
      </c>
      <c r="D294" t="str">
        <f t="shared" si="8"/>
        <v>F003Manjunath</v>
      </c>
      <c r="E294" t="s">
        <v>30</v>
      </c>
      <c r="F294">
        <v>19.57</v>
      </c>
      <c r="G294">
        <v>4</v>
      </c>
      <c r="H294">
        <v>9.1999999999999993</v>
      </c>
      <c r="I294">
        <v>1448.18</v>
      </c>
      <c r="J294" s="4">
        <f t="shared" si="9"/>
        <v>74</v>
      </c>
    </row>
    <row r="295" spans="1:10" x14ac:dyDescent="0.3">
      <c r="A295" s="1">
        <v>45930</v>
      </c>
      <c r="B295" t="s">
        <v>11</v>
      </c>
      <c r="C295" t="s">
        <v>21</v>
      </c>
      <c r="D295" t="str">
        <f t="shared" si="8"/>
        <v>F004Suresh</v>
      </c>
      <c r="E295" t="s">
        <v>31</v>
      </c>
      <c r="F295">
        <v>18.940000000000001</v>
      </c>
      <c r="G295">
        <v>4.2</v>
      </c>
      <c r="H295">
        <v>8.4</v>
      </c>
      <c r="I295">
        <v>1352.32</v>
      </c>
      <c r="J295" s="4">
        <f t="shared" si="9"/>
        <v>71.400211193241802</v>
      </c>
    </row>
    <row r="296" spans="1:10" x14ac:dyDescent="0.3">
      <c r="A296" s="1">
        <v>45930</v>
      </c>
      <c r="B296" t="s">
        <v>12</v>
      </c>
      <c r="C296" t="s">
        <v>22</v>
      </c>
      <c r="D296" t="str">
        <f t="shared" si="8"/>
        <v>F005Geetha</v>
      </c>
      <c r="E296" t="s">
        <v>32</v>
      </c>
      <c r="F296">
        <v>13.65</v>
      </c>
      <c r="G296">
        <v>4.5</v>
      </c>
      <c r="H296">
        <v>9</v>
      </c>
      <c r="I296">
        <v>1044.23</v>
      </c>
      <c r="J296" s="4">
        <f t="shared" si="9"/>
        <v>76.500366300366295</v>
      </c>
    </row>
    <row r="297" spans="1:10" x14ac:dyDescent="0.3">
      <c r="A297" s="1">
        <v>45930</v>
      </c>
      <c r="B297" t="s">
        <v>13</v>
      </c>
      <c r="C297" t="s">
        <v>23</v>
      </c>
      <c r="D297" t="str">
        <f t="shared" si="8"/>
        <v>F006Anand</v>
      </c>
      <c r="E297" t="s">
        <v>33</v>
      </c>
      <c r="F297">
        <v>18.79</v>
      </c>
      <c r="G297">
        <v>3.9</v>
      </c>
      <c r="H297">
        <v>8.4</v>
      </c>
      <c r="I297">
        <v>1302.1500000000001</v>
      </c>
      <c r="J297" s="4">
        <f t="shared" si="9"/>
        <v>69.300159659393302</v>
      </c>
    </row>
    <row r="298" spans="1:10" x14ac:dyDescent="0.3">
      <c r="A298" s="1">
        <v>45930</v>
      </c>
      <c r="B298" t="s">
        <v>14</v>
      </c>
      <c r="C298" t="s">
        <v>24</v>
      </c>
      <c r="D298" t="str">
        <f t="shared" si="8"/>
        <v>F007Savitha</v>
      </c>
      <c r="E298" t="s">
        <v>34</v>
      </c>
      <c r="F298">
        <v>8.9499999999999993</v>
      </c>
      <c r="G298">
        <v>4.2</v>
      </c>
      <c r="H298">
        <v>8.1999999999999993</v>
      </c>
      <c r="I298">
        <v>630.08000000000004</v>
      </c>
      <c r="J298" s="4">
        <f t="shared" si="9"/>
        <v>70.400000000000006</v>
      </c>
    </row>
    <row r="299" spans="1:10" x14ac:dyDescent="0.3">
      <c r="A299" s="1">
        <v>45930</v>
      </c>
      <c r="B299" t="s">
        <v>15</v>
      </c>
      <c r="C299" t="s">
        <v>25</v>
      </c>
      <c r="D299" t="str">
        <f t="shared" si="8"/>
        <v>F008Prakash</v>
      </c>
      <c r="E299" t="s">
        <v>35</v>
      </c>
      <c r="F299">
        <v>14.03</v>
      </c>
      <c r="G299">
        <v>5</v>
      </c>
      <c r="H299">
        <v>8.3000000000000007</v>
      </c>
      <c r="I299">
        <v>1073.29</v>
      </c>
      <c r="J299" s="4">
        <f t="shared" si="9"/>
        <v>76.499643620812549</v>
      </c>
    </row>
    <row r="300" spans="1:10" x14ac:dyDescent="0.3">
      <c r="A300" s="1">
        <v>45930</v>
      </c>
      <c r="B300" t="s">
        <v>16</v>
      </c>
      <c r="C300" t="s">
        <v>26</v>
      </c>
      <c r="D300" t="str">
        <f t="shared" si="8"/>
        <v>F009Meena</v>
      </c>
      <c r="E300" t="s">
        <v>36</v>
      </c>
      <c r="F300">
        <v>14.73</v>
      </c>
      <c r="G300">
        <v>3.9</v>
      </c>
      <c r="H300">
        <v>8.4</v>
      </c>
      <c r="I300">
        <v>1020.79</v>
      </c>
      <c r="J300" s="4">
        <f t="shared" si="9"/>
        <v>69.300067888662582</v>
      </c>
    </row>
    <row r="301" spans="1:10" x14ac:dyDescent="0.3">
      <c r="A301" s="1">
        <v>45930</v>
      </c>
      <c r="B301" t="s">
        <v>17</v>
      </c>
      <c r="C301" t="s">
        <v>27</v>
      </c>
      <c r="D301" t="str">
        <f t="shared" si="8"/>
        <v>F010Ravi</v>
      </c>
      <c r="E301" t="s">
        <v>37</v>
      </c>
      <c r="F301">
        <v>15.61</v>
      </c>
      <c r="G301">
        <v>3.6</v>
      </c>
      <c r="H301">
        <v>8.9</v>
      </c>
      <c r="I301">
        <v>1088.02</v>
      </c>
      <c r="J301" s="4">
        <f t="shared" si="9"/>
        <v>69.700192184497112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18705-B950-4B23-A131-EB14870D830A}">
  <dimension ref="A1:K34"/>
  <sheetViews>
    <sheetView workbookViewId="0">
      <selection activeCell="D3" sqref="D3:E14"/>
    </sheetView>
  </sheetViews>
  <sheetFormatPr defaultRowHeight="14.4" x14ac:dyDescent="0.3"/>
  <cols>
    <col min="1" max="1" width="10.77734375" bestFit="1" customWidth="1"/>
    <col min="2" max="2" width="17.6640625" bestFit="1" customWidth="1"/>
    <col min="3" max="3" width="17.33203125" bestFit="1" customWidth="1"/>
    <col min="4" max="4" width="14" bestFit="1" customWidth="1"/>
    <col min="5" max="5" width="17.6640625" bestFit="1" customWidth="1"/>
    <col min="7" max="7" width="18.21875" bestFit="1" customWidth="1"/>
    <col min="8" max="8" width="17.6640625" bestFit="1" customWidth="1"/>
    <col min="10" max="10" width="24.6640625" bestFit="1" customWidth="1"/>
    <col min="11" max="11" width="17.33203125" bestFit="1" customWidth="1"/>
    <col min="12" max="12" width="15.77734375" bestFit="1" customWidth="1"/>
    <col min="13" max="13" width="17.6640625" bestFit="1" customWidth="1"/>
  </cols>
  <sheetData>
    <row r="1" spans="1:11" x14ac:dyDescent="0.3">
      <c r="A1" s="10" t="s">
        <v>42</v>
      </c>
      <c r="B1" s="11"/>
      <c r="D1" s="10" t="s">
        <v>43</v>
      </c>
      <c r="E1" s="11"/>
      <c r="G1" s="10" t="s">
        <v>54</v>
      </c>
      <c r="H1" s="11"/>
    </row>
    <row r="3" spans="1:11" x14ac:dyDescent="0.3">
      <c r="A3" s="8" t="s">
        <v>0</v>
      </c>
      <c r="B3" t="s">
        <v>41</v>
      </c>
      <c r="D3" s="8" t="s">
        <v>3</v>
      </c>
      <c r="E3" t="s">
        <v>41</v>
      </c>
      <c r="G3" s="8" t="s">
        <v>39</v>
      </c>
      <c r="H3" t="s">
        <v>41</v>
      </c>
      <c r="J3" t="s">
        <v>55</v>
      </c>
      <c r="K3" t="s">
        <v>56</v>
      </c>
    </row>
    <row r="4" spans="1:11" x14ac:dyDescent="0.3">
      <c r="A4" s="1">
        <v>45901</v>
      </c>
      <c r="B4" s="7">
        <v>99.429999999999993</v>
      </c>
      <c r="D4" t="s">
        <v>36</v>
      </c>
      <c r="E4" s="7">
        <v>420.8</v>
      </c>
      <c r="G4" t="s">
        <v>52</v>
      </c>
      <c r="H4" s="7">
        <v>420.8</v>
      </c>
      <c r="J4" s="7">
        <v>4.2423333333333355</v>
      </c>
      <c r="K4" s="7">
        <v>8.706999999999999</v>
      </c>
    </row>
    <row r="5" spans="1:11" x14ac:dyDescent="0.3">
      <c r="A5" s="1">
        <v>45902</v>
      </c>
      <c r="B5" s="7">
        <v>119.82</v>
      </c>
      <c r="D5" t="s">
        <v>30</v>
      </c>
      <c r="E5" s="7">
        <v>386.59999999999997</v>
      </c>
      <c r="G5" t="s">
        <v>46</v>
      </c>
      <c r="H5" s="7">
        <v>386.59999999999997</v>
      </c>
    </row>
    <row r="6" spans="1:11" x14ac:dyDescent="0.3">
      <c r="A6" s="1">
        <v>45903</v>
      </c>
      <c r="B6" s="7">
        <v>125.97</v>
      </c>
      <c r="D6" t="s">
        <v>33</v>
      </c>
      <c r="E6" s="7">
        <v>378.71</v>
      </c>
      <c r="G6" t="s">
        <v>49</v>
      </c>
      <c r="H6" s="7">
        <v>378.71</v>
      </c>
      <c r="J6" t="s">
        <v>41</v>
      </c>
      <c r="K6" t="s">
        <v>58</v>
      </c>
    </row>
    <row r="7" spans="1:11" x14ac:dyDescent="0.3">
      <c r="A7" s="1">
        <v>45904</v>
      </c>
      <c r="B7" s="7">
        <v>106.72000000000001</v>
      </c>
      <c r="D7" t="s">
        <v>31</v>
      </c>
      <c r="E7" s="7">
        <v>376.87000000000006</v>
      </c>
      <c r="G7" t="s">
        <v>47</v>
      </c>
      <c r="H7" s="7">
        <v>376.87000000000006</v>
      </c>
      <c r="J7" s="7">
        <v>3709.4499999999971</v>
      </c>
      <c r="K7" s="7">
        <v>272020.39999999997</v>
      </c>
    </row>
    <row r="8" spans="1:11" x14ac:dyDescent="0.3">
      <c r="A8" s="1">
        <v>45905</v>
      </c>
      <c r="B8" s="7">
        <v>133.16</v>
      </c>
      <c r="D8" t="s">
        <v>34</v>
      </c>
      <c r="E8" s="7">
        <v>369.16000000000008</v>
      </c>
      <c r="G8" t="s">
        <v>50</v>
      </c>
      <c r="H8" s="7">
        <v>369.16000000000008</v>
      </c>
    </row>
    <row r="9" spans="1:11" x14ac:dyDescent="0.3">
      <c r="A9" s="1">
        <v>45906</v>
      </c>
      <c r="B9" s="7">
        <v>139.36999999999998</v>
      </c>
      <c r="D9" t="s">
        <v>28</v>
      </c>
      <c r="E9" s="7">
        <v>361.14</v>
      </c>
      <c r="G9" t="s">
        <v>44</v>
      </c>
      <c r="H9" s="7">
        <v>361.14</v>
      </c>
      <c r="J9" t="s">
        <v>59</v>
      </c>
    </row>
    <row r="10" spans="1:11" x14ac:dyDescent="0.3">
      <c r="A10" s="1">
        <v>45907</v>
      </c>
      <c r="B10" s="7">
        <v>133.38000000000002</v>
      </c>
      <c r="D10" t="s">
        <v>35</v>
      </c>
      <c r="E10" s="7">
        <v>359.32</v>
      </c>
      <c r="G10" t="s">
        <v>51</v>
      </c>
      <c r="H10" s="7">
        <v>359.32</v>
      </c>
      <c r="J10" s="7">
        <v>73.231349472954506</v>
      </c>
    </row>
    <row r="11" spans="1:11" x14ac:dyDescent="0.3">
      <c r="A11" s="1">
        <v>45908</v>
      </c>
      <c r="B11" s="7">
        <v>106.19</v>
      </c>
      <c r="D11" t="s">
        <v>37</v>
      </c>
      <c r="E11" s="7">
        <v>358.41</v>
      </c>
      <c r="G11" t="s">
        <v>53</v>
      </c>
      <c r="H11" s="7">
        <v>358.41</v>
      </c>
    </row>
    <row r="12" spans="1:11" x14ac:dyDescent="0.3">
      <c r="A12" s="1">
        <v>45909</v>
      </c>
      <c r="B12" s="7">
        <v>115.18</v>
      </c>
      <c r="D12" t="s">
        <v>29</v>
      </c>
      <c r="E12" s="7">
        <v>355.71999999999997</v>
      </c>
      <c r="G12" t="s">
        <v>45</v>
      </c>
      <c r="H12" s="7">
        <v>355.71999999999997</v>
      </c>
    </row>
    <row r="13" spans="1:11" x14ac:dyDescent="0.3">
      <c r="A13" s="1">
        <v>45910</v>
      </c>
      <c r="B13" s="7">
        <v>139.37000000000003</v>
      </c>
      <c r="D13" t="s">
        <v>32</v>
      </c>
      <c r="E13" s="7">
        <v>342.71999999999997</v>
      </c>
      <c r="G13" t="s">
        <v>48</v>
      </c>
      <c r="H13" s="7">
        <v>342.71999999999997</v>
      </c>
    </row>
    <row r="14" spans="1:11" x14ac:dyDescent="0.3">
      <c r="A14" s="1">
        <v>45911</v>
      </c>
      <c r="B14" s="7">
        <v>118.67</v>
      </c>
      <c r="D14" t="s">
        <v>40</v>
      </c>
      <c r="E14" s="7">
        <v>3709.45</v>
      </c>
      <c r="G14" t="s">
        <v>40</v>
      </c>
      <c r="H14" s="7">
        <v>3709.4500000000003</v>
      </c>
    </row>
    <row r="15" spans="1:11" x14ac:dyDescent="0.3">
      <c r="A15" s="1">
        <v>45912</v>
      </c>
      <c r="B15" s="7">
        <v>145.42000000000002</v>
      </c>
    </row>
    <row r="16" spans="1:11" x14ac:dyDescent="0.3">
      <c r="A16" s="1">
        <v>45913</v>
      </c>
      <c r="B16" s="7">
        <v>119.91000000000001</v>
      </c>
    </row>
    <row r="17" spans="1:2" x14ac:dyDescent="0.3">
      <c r="A17" s="1">
        <v>45914</v>
      </c>
      <c r="B17" s="7">
        <v>137.05999999999997</v>
      </c>
    </row>
    <row r="18" spans="1:2" x14ac:dyDescent="0.3">
      <c r="A18" s="1">
        <v>45915</v>
      </c>
      <c r="B18" s="7">
        <v>108.95</v>
      </c>
    </row>
    <row r="19" spans="1:2" x14ac:dyDescent="0.3">
      <c r="A19" s="1">
        <v>45916</v>
      </c>
      <c r="B19" s="7">
        <v>132.75</v>
      </c>
    </row>
    <row r="20" spans="1:2" x14ac:dyDescent="0.3">
      <c r="A20" s="1">
        <v>45917</v>
      </c>
      <c r="B20" s="7">
        <v>119.77000000000001</v>
      </c>
    </row>
    <row r="21" spans="1:2" x14ac:dyDescent="0.3">
      <c r="A21" s="1">
        <v>45918</v>
      </c>
      <c r="B21" s="7">
        <v>102.82</v>
      </c>
    </row>
    <row r="22" spans="1:2" x14ac:dyDescent="0.3">
      <c r="A22" s="1">
        <v>45919</v>
      </c>
      <c r="B22" s="7">
        <v>123.83</v>
      </c>
    </row>
    <row r="23" spans="1:2" x14ac:dyDescent="0.3">
      <c r="A23" s="1">
        <v>45920</v>
      </c>
      <c r="B23" s="7">
        <v>125.13999999999999</v>
      </c>
    </row>
    <row r="24" spans="1:2" x14ac:dyDescent="0.3">
      <c r="A24" s="1">
        <v>45921</v>
      </c>
      <c r="B24" s="7">
        <v>107.35999999999999</v>
      </c>
    </row>
    <row r="25" spans="1:2" x14ac:dyDescent="0.3">
      <c r="A25" s="1">
        <v>45922</v>
      </c>
      <c r="B25" s="7">
        <v>145.76999999999998</v>
      </c>
    </row>
    <row r="26" spans="1:2" x14ac:dyDescent="0.3">
      <c r="A26" s="1">
        <v>45923</v>
      </c>
      <c r="B26" s="7">
        <v>124.71</v>
      </c>
    </row>
    <row r="27" spans="1:2" x14ac:dyDescent="0.3">
      <c r="A27" s="1">
        <v>45924</v>
      </c>
      <c r="B27" s="7">
        <v>105.03999999999999</v>
      </c>
    </row>
    <row r="28" spans="1:2" x14ac:dyDescent="0.3">
      <c r="A28" s="1">
        <v>45925</v>
      </c>
      <c r="B28" s="7">
        <v>114.69</v>
      </c>
    </row>
    <row r="29" spans="1:2" x14ac:dyDescent="0.3">
      <c r="A29" s="1">
        <v>45926</v>
      </c>
      <c r="B29" s="7">
        <v>129.26</v>
      </c>
    </row>
    <row r="30" spans="1:2" x14ac:dyDescent="0.3">
      <c r="A30" s="1">
        <v>45927</v>
      </c>
      <c r="B30" s="7">
        <v>125.29</v>
      </c>
    </row>
    <row r="31" spans="1:2" x14ac:dyDescent="0.3">
      <c r="A31" s="1">
        <v>45928</v>
      </c>
      <c r="B31" s="7">
        <v>113.76</v>
      </c>
    </row>
    <row r="32" spans="1:2" x14ac:dyDescent="0.3">
      <c r="A32" s="1">
        <v>45929</v>
      </c>
      <c r="B32" s="7">
        <v>140.97000000000003</v>
      </c>
    </row>
    <row r="33" spans="1:2" x14ac:dyDescent="0.3">
      <c r="A33" s="1">
        <v>45930</v>
      </c>
      <c r="B33" s="7">
        <v>149.69</v>
      </c>
    </row>
    <row r="34" spans="1:2" x14ac:dyDescent="0.3">
      <c r="A34" s="1" t="s">
        <v>40</v>
      </c>
      <c r="B34" s="7">
        <v>3709.4500000000012</v>
      </c>
    </row>
  </sheetData>
  <mergeCells count="3">
    <mergeCell ref="A1:B1"/>
    <mergeCell ref="D1:E1"/>
    <mergeCell ref="G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78A7-974A-46CC-8789-30F1A97F1ECA}">
  <dimension ref="A1:S37"/>
  <sheetViews>
    <sheetView showGridLines="0" tabSelected="1" topLeftCell="A12" zoomScaleNormal="100" workbookViewId="0">
      <selection activeCell="B22" sqref="B22"/>
    </sheetView>
  </sheetViews>
  <sheetFormatPr defaultRowHeight="14.4" x14ac:dyDescent="0.3"/>
  <sheetData>
    <row r="1" spans="1:19" ht="14.4" customHeight="1" x14ac:dyDescent="0.3">
      <c r="A1" s="12" t="s">
        <v>57</v>
      </c>
      <c r="B1" s="12"/>
      <c r="C1" s="12"/>
      <c r="D1" s="12"/>
      <c r="E1" s="12"/>
      <c r="F1" s="12"/>
      <c r="G1" s="12"/>
      <c r="H1" s="12"/>
      <c r="I1" s="12"/>
      <c r="J1" s="12"/>
      <c r="K1" s="12"/>
      <c r="L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x14ac:dyDescent="0.3">
      <c r="A3" s="9"/>
      <c r="B3" s="9"/>
      <c r="C3" s="9"/>
      <c r="D3" s="9"/>
      <c r="E3" s="9"/>
      <c r="F3" s="9"/>
      <c r="G3" s="9"/>
      <c r="H3" s="9"/>
      <c r="I3" s="9"/>
      <c r="J3" s="9"/>
      <c r="K3" s="9"/>
      <c r="L3" s="9"/>
      <c r="M3" s="9"/>
      <c r="N3" s="9"/>
      <c r="O3" s="9"/>
      <c r="P3" s="9"/>
      <c r="Q3" s="9"/>
      <c r="R3" s="9"/>
      <c r="S3" s="9"/>
    </row>
    <row r="4" spans="1:19" ht="15.6" customHeight="1" x14ac:dyDescent="0.3">
      <c r="A4" s="9"/>
      <c r="B4" s="9"/>
      <c r="C4" s="9"/>
      <c r="D4" s="9"/>
      <c r="E4" s="9"/>
      <c r="F4" s="9"/>
      <c r="G4" s="9"/>
      <c r="H4" s="9"/>
      <c r="I4" s="9"/>
      <c r="J4" s="9"/>
      <c r="K4" s="9"/>
      <c r="L4" s="9"/>
      <c r="M4" s="9"/>
      <c r="N4" s="9"/>
      <c r="O4" s="9"/>
      <c r="P4" s="9"/>
      <c r="Q4" s="9"/>
      <c r="R4" s="9"/>
      <c r="S4" s="9"/>
    </row>
    <row r="5" spans="1:19" x14ac:dyDescent="0.3">
      <c r="A5" s="9"/>
      <c r="B5" s="9"/>
      <c r="C5" s="9"/>
      <c r="D5" s="9"/>
      <c r="E5" s="9"/>
      <c r="F5" s="9"/>
      <c r="G5" s="9"/>
      <c r="H5" s="9"/>
      <c r="I5" s="9"/>
      <c r="J5" s="9"/>
      <c r="K5" s="9"/>
      <c r="L5" s="9"/>
      <c r="M5" s="9"/>
      <c r="N5" s="9"/>
      <c r="O5" s="9"/>
      <c r="P5" s="9"/>
      <c r="Q5" s="9"/>
      <c r="R5" s="9"/>
      <c r="S5" s="9"/>
    </row>
    <row r="6" spans="1:19" x14ac:dyDescent="0.3">
      <c r="A6" s="9"/>
      <c r="B6" s="9"/>
      <c r="C6" s="9"/>
      <c r="D6" s="9"/>
      <c r="E6" s="9"/>
      <c r="F6" s="9"/>
      <c r="G6" s="9"/>
      <c r="H6" s="9"/>
      <c r="I6" s="9"/>
      <c r="J6" s="9"/>
      <c r="K6" s="9"/>
      <c r="L6" s="9"/>
      <c r="M6" s="9"/>
      <c r="N6" s="9"/>
      <c r="O6" s="9"/>
      <c r="P6" s="9"/>
      <c r="Q6" s="9"/>
      <c r="R6" s="9"/>
      <c r="S6" s="9"/>
    </row>
    <row r="7" spans="1:19" x14ac:dyDescent="0.3">
      <c r="A7" s="9"/>
      <c r="B7" s="9"/>
      <c r="C7" s="9"/>
      <c r="D7" s="9"/>
      <c r="E7" s="9"/>
      <c r="F7" s="9"/>
      <c r="G7" s="9"/>
      <c r="H7" s="9"/>
      <c r="I7" s="9"/>
      <c r="J7" s="9"/>
      <c r="K7" s="9"/>
      <c r="L7" s="9"/>
      <c r="M7" s="9"/>
      <c r="N7" s="9"/>
      <c r="O7" s="9"/>
      <c r="P7" s="9"/>
      <c r="Q7" s="9"/>
      <c r="R7" s="9"/>
      <c r="S7" s="9"/>
    </row>
    <row r="8" spans="1:19" x14ac:dyDescent="0.3">
      <c r="A8" s="9"/>
      <c r="B8" s="9"/>
      <c r="C8" s="9"/>
      <c r="D8" s="9"/>
      <c r="E8" s="9"/>
      <c r="F8" s="9"/>
      <c r="G8" s="9"/>
      <c r="H8" s="9"/>
      <c r="I8" s="9"/>
      <c r="J8" s="9"/>
      <c r="K8" s="9"/>
      <c r="L8" s="9"/>
      <c r="M8" s="9"/>
      <c r="N8" s="9"/>
      <c r="O8" s="9"/>
      <c r="P8" s="9"/>
      <c r="Q8" s="9"/>
      <c r="R8" s="9"/>
      <c r="S8" s="9"/>
    </row>
    <row r="9" spans="1:19" x14ac:dyDescent="0.3">
      <c r="A9" s="9"/>
      <c r="B9" s="9"/>
      <c r="C9" s="9"/>
      <c r="D9" s="9"/>
      <c r="E9" s="9"/>
      <c r="F9" s="9"/>
      <c r="G9" s="9"/>
      <c r="H9" s="9"/>
      <c r="I9" s="9"/>
      <c r="J9" s="9"/>
      <c r="K9" s="9"/>
      <c r="L9" s="9"/>
      <c r="M9" s="9"/>
      <c r="N9" s="9"/>
      <c r="O9" s="9"/>
      <c r="P9" s="9"/>
      <c r="Q9" s="9"/>
      <c r="R9" s="9"/>
      <c r="S9" s="9"/>
    </row>
    <row r="10" spans="1:19" x14ac:dyDescent="0.3">
      <c r="A10" s="9"/>
      <c r="B10" s="9"/>
      <c r="C10" s="9"/>
      <c r="D10" s="9"/>
      <c r="E10" s="9"/>
      <c r="F10" s="9"/>
      <c r="G10" s="9"/>
      <c r="H10" s="9"/>
      <c r="I10" s="9"/>
      <c r="J10" s="9"/>
      <c r="K10" s="9"/>
      <c r="L10" s="9"/>
      <c r="M10" s="9"/>
      <c r="N10" s="9"/>
      <c r="O10" s="9"/>
      <c r="P10" s="9"/>
      <c r="Q10" s="9"/>
      <c r="R10" s="9"/>
      <c r="S10" s="9"/>
    </row>
    <row r="11" spans="1:19" x14ac:dyDescent="0.3">
      <c r="A11" s="9"/>
      <c r="B11" s="9"/>
      <c r="C11" s="9"/>
      <c r="D11" s="9"/>
      <c r="E11" s="9"/>
      <c r="F11" s="9"/>
      <c r="G11" s="9"/>
      <c r="H11" s="9"/>
      <c r="I11" s="9"/>
      <c r="J11" s="9"/>
      <c r="K11" s="9"/>
      <c r="L11" s="9"/>
      <c r="M11" s="9"/>
      <c r="N11" s="9"/>
      <c r="O11" s="9"/>
      <c r="P11" s="9"/>
      <c r="Q11" s="9"/>
      <c r="R11" s="9"/>
      <c r="S11" s="9"/>
    </row>
    <row r="12" spans="1:19" x14ac:dyDescent="0.3">
      <c r="A12" s="9"/>
      <c r="B12" s="9"/>
      <c r="C12" s="9"/>
      <c r="D12" s="9"/>
      <c r="E12" s="9"/>
      <c r="F12" s="9"/>
      <c r="G12" s="9"/>
      <c r="H12" s="9"/>
      <c r="I12" s="9"/>
      <c r="J12" s="9"/>
      <c r="K12" s="9"/>
      <c r="L12" s="9"/>
      <c r="M12" s="9"/>
      <c r="N12" s="9"/>
      <c r="O12" s="9"/>
      <c r="P12" s="9"/>
      <c r="Q12" s="9"/>
      <c r="R12" s="9"/>
      <c r="S12" s="9"/>
    </row>
    <row r="13" spans="1:19" x14ac:dyDescent="0.3">
      <c r="A13" s="9"/>
      <c r="B13" s="9"/>
      <c r="C13" s="9"/>
      <c r="D13" s="9"/>
      <c r="E13" s="9"/>
      <c r="F13" s="9"/>
      <c r="G13" s="9"/>
      <c r="H13" s="9"/>
      <c r="I13" s="9"/>
      <c r="J13" s="9"/>
      <c r="K13" s="9"/>
      <c r="L13" s="9"/>
      <c r="M13" s="9"/>
      <c r="N13" s="9"/>
      <c r="O13" s="9"/>
      <c r="P13" s="9"/>
      <c r="Q13" s="9"/>
      <c r="R13" s="9"/>
      <c r="S13" s="9"/>
    </row>
    <row r="14" spans="1:19" x14ac:dyDescent="0.3">
      <c r="A14" s="9"/>
      <c r="B14" s="9"/>
      <c r="C14" s="9"/>
      <c r="D14" s="9"/>
      <c r="E14" s="9"/>
      <c r="F14" s="9"/>
      <c r="G14" s="9"/>
      <c r="H14" s="9"/>
      <c r="I14" s="9"/>
      <c r="J14" s="9"/>
      <c r="K14" s="9"/>
      <c r="L14" s="9"/>
      <c r="M14" s="9"/>
      <c r="N14" s="9"/>
      <c r="O14" s="9"/>
      <c r="P14" s="9"/>
      <c r="Q14" s="9"/>
      <c r="R14" s="9"/>
      <c r="S14" s="9"/>
    </row>
    <row r="15" spans="1:19" x14ac:dyDescent="0.3">
      <c r="A15" s="9"/>
      <c r="B15" s="9"/>
      <c r="C15" s="9"/>
      <c r="D15" s="9"/>
      <c r="E15" s="9"/>
      <c r="F15" s="9"/>
      <c r="G15" s="9"/>
      <c r="H15" s="9"/>
      <c r="I15" s="9"/>
      <c r="J15" s="9"/>
      <c r="K15" s="9"/>
      <c r="L15" s="9"/>
      <c r="M15" s="9"/>
      <c r="N15" s="9"/>
      <c r="O15" s="9"/>
      <c r="P15" s="9"/>
      <c r="Q15" s="9"/>
      <c r="R15" s="9"/>
      <c r="S15" s="9"/>
    </row>
    <row r="16" spans="1:19" x14ac:dyDescent="0.3">
      <c r="A16" s="9"/>
      <c r="B16" s="9"/>
      <c r="C16" s="9"/>
      <c r="D16" s="9"/>
      <c r="E16" s="9"/>
      <c r="F16" s="9"/>
      <c r="G16" s="9"/>
      <c r="H16" s="9"/>
      <c r="I16" s="9"/>
      <c r="J16" s="9"/>
      <c r="K16" s="9"/>
      <c r="L16" s="9"/>
      <c r="M16" s="9"/>
      <c r="N16" s="9"/>
      <c r="O16" s="9"/>
      <c r="P16" s="9"/>
      <c r="Q16" s="9"/>
      <c r="R16" s="9"/>
      <c r="S16" s="9"/>
    </row>
    <row r="17" spans="1:19" x14ac:dyDescent="0.3">
      <c r="A17" s="9"/>
      <c r="B17" s="9"/>
      <c r="C17" s="9"/>
      <c r="D17" s="9"/>
      <c r="E17" s="9"/>
      <c r="F17" s="9"/>
      <c r="G17" s="9"/>
      <c r="H17" s="9"/>
      <c r="I17" s="9"/>
      <c r="J17" s="9"/>
      <c r="K17" s="9"/>
      <c r="L17" s="9"/>
      <c r="M17" s="9"/>
      <c r="N17" s="9"/>
      <c r="O17" s="9"/>
      <c r="P17" s="9"/>
      <c r="Q17" s="9"/>
      <c r="R17" s="9"/>
      <c r="S17" s="9"/>
    </row>
    <row r="18" spans="1:19" x14ac:dyDescent="0.3">
      <c r="A18" s="9"/>
      <c r="B18" s="9"/>
      <c r="C18" s="9"/>
      <c r="D18" s="9"/>
      <c r="E18" s="9"/>
      <c r="F18" s="9"/>
      <c r="G18" s="9"/>
      <c r="H18" s="9"/>
      <c r="I18" s="9"/>
      <c r="J18" s="9"/>
      <c r="K18" s="9"/>
      <c r="L18" s="9"/>
      <c r="M18" s="9"/>
      <c r="N18" s="9"/>
      <c r="O18" s="9"/>
      <c r="P18" s="9"/>
      <c r="Q18" s="9"/>
      <c r="R18" s="9"/>
      <c r="S18" s="9"/>
    </row>
    <row r="19" spans="1:19" x14ac:dyDescent="0.3">
      <c r="A19" s="9"/>
      <c r="B19" s="9"/>
      <c r="C19" s="9"/>
      <c r="D19" s="9"/>
      <c r="E19" s="9"/>
      <c r="F19" s="9"/>
      <c r="G19" s="9"/>
      <c r="H19" s="9"/>
      <c r="I19" s="9"/>
      <c r="J19" s="9"/>
      <c r="K19" s="9"/>
      <c r="L19" s="9"/>
      <c r="M19" s="9"/>
      <c r="N19" s="9"/>
      <c r="O19" s="9"/>
      <c r="P19" s="9"/>
      <c r="Q19" s="9"/>
      <c r="R19" s="9"/>
      <c r="S19" s="9"/>
    </row>
    <row r="20" spans="1:19" x14ac:dyDescent="0.3">
      <c r="A20" s="9"/>
      <c r="C20" s="9"/>
      <c r="D20" s="9"/>
      <c r="E20" s="9"/>
      <c r="F20" s="9"/>
      <c r="G20" s="9"/>
      <c r="H20" s="9"/>
      <c r="I20" s="9"/>
      <c r="J20" s="9"/>
      <c r="K20" s="9"/>
      <c r="L20" s="9"/>
      <c r="M20" s="9"/>
      <c r="N20" s="9"/>
      <c r="O20" s="9"/>
      <c r="P20" s="9"/>
      <c r="Q20" s="9"/>
      <c r="R20" s="9"/>
      <c r="S20" s="9"/>
    </row>
    <row r="21" spans="1:19" x14ac:dyDescent="0.3">
      <c r="A21" s="9"/>
      <c r="C21" s="9"/>
      <c r="D21" s="9"/>
      <c r="E21" s="9"/>
      <c r="F21" s="9"/>
      <c r="G21" s="9"/>
      <c r="H21" s="9"/>
      <c r="I21" s="9"/>
      <c r="J21" s="9"/>
      <c r="K21" s="9"/>
      <c r="L21" s="9"/>
      <c r="M21" s="9"/>
      <c r="N21" s="9"/>
      <c r="O21" s="9"/>
      <c r="P21" s="9"/>
      <c r="Q21" s="9"/>
      <c r="R21" s="9"/>
      <c r="S21" s="9"/>
    </row>
    <row r="22" spans="1:19" x14ac:dyDescent="0.3">
      <c r="A22" s="9"/>
      <c r="B22" s="9"/>
      <c r="C22" s="9"/>
      <c r="D22" s="9"/>
      <c r="E22" s="9"/>
      <c r="F22" s="9"/>
      <c r="G22" s="9"/>
      <c r="H22" s="9"/>
      <c r="I22" s="9"/>
      <c r="J22" s="9"/>
      <c r="K22" s="9"/>
      <c r="L22" s="9"/>
      <c r="M22" s="9"/>
      <c r="N22" s="9"/>
      <c r="O22" s="9"/>
      <c r="P22" s="9"/>
      <c r="Q22" s="9"/>
      <c r="R22" s="9"/>
      <c r="S22" s="9"/>
    </row>
    <row r="23" spans="1:19" x14ac:dyDescent="0.3">
      <c r="A23" s="9"/>
      <c r="B23" s="9"/>
      <c r="C23" s="9"/>
      <c r="D23" s="9"/>
      <c r="E23" s="9"/>
      <c r="F23" s="9"/>
      <c r="G23" s="9"/>
      <c r="H23" s="9"/>
      <c r="I23" s="9"/>
      <c r="J23" s="9"/>
      <c r="K23" s="9"/>
      <c r="L23" s="9"/>
      <c r="M23" s="9"/>
      <c r="N23" s="9"/>
      <c r="O23" s="9"/>
      <c r="P23" s="9"/>
      <c r="Q23" s="9"/>
      <c r="R23" s="9"/>
      <c r="S23" s="9"/>
    </row>
    <row r="24" spans="1:19" x14ac:dyDescent="0.3">
      <c r="A24" s="9"/>
      <c r="B24" s="9"/>
      <c r="C24" s="9"/>
      <c r="D24" s="9"/>
      <c r="E24" s="9"/>
      <c r="F24" s="9"/>
      <c r="G24" s="9"/>
      <c r="H24" s="9"/>
      <c r="I24" s="9"/>
      <c r="J24" s="9"/>
      <c r="K24" s="9"/>
      <c r="L24" s="9"/>
      <c r="M24" s="9"/>
      <c r="N24" s="9"/>
      <c r="O24" s="9"/>
      <c r="P24" s="9"/>
      <c r="Q24" s="9"/>
      <c r="R24" s="9"/>
      <c r="S24" s="9"/>
    </row>
    <row r="25" spans="1:19" x14ac:dyDescent="0.3">
      <c r="A25" s="9"/>
      <c r="B25" s="9"/>
      <c r="C25" s="9"/>
      <c r="D25" s="9"/>
      <c r="E25" s="9"/>
      <c r="F25" s="9"/>
      <c r="G25" s="9"/>
      <c r="H25" s="9"/>
      <c r="I25" s="9"/>
      <c r="J25" s="9"/>
      <c r="K25" s="9"/>
      <c r="L25" s="9"/>
      <c r="M25" s="9"/>
      <c r="N25" s="9"/>
      <c r="O25" s="9"/>
      <c r="P25" s="9"/>
      <c r="Q25" s="9"/>
      <c r="R25" s="9"/>
      <c r="S25" s="9"/>
    </row>
    <row r="26" spans="1:19" x14ac:dyDescent="0.3">
      <c r="A26" s="9"/>
      <c r="B26" s="9"/>
      <c r="C26" s="9"/>
      <c r="D26" s="9"/>
      <c r="E26" s="9"/>
      <c r="F26" s="9"/>
      <c r="G26" s="9"/>
      <c r="H26" s="9"/>
      <c r="I26" s="9"/>
      <c r="J26" s="9"/>
      <c r="K26" s="9"/>
      <c r="L26" s="9"/>
      <c r="M26" s="9"/>
      <c r="N26" s="9"/>
      <c r="O26" s="9"/>
      <c r="P26" s="9"/>
      <c r="Q26" s="9"/>
      <c r="R26" s="9"/>
      <c r="S26" s="9"/>
    </row>
    <row r="27" spans="1:19" x14ac:dyDescent="0.3">
      <c r="A27" s="9"/>
      <c r="B27" s="9"/>
      <c r="C27" s="9"/>
      <c r="D27" s="9"/>
      <c r="E27" s="9"/>
      <c r="F27" s="9"/>
      <c r="G27" s="9"/>
      <c r="H27" s="9"/>
      <c r="I27" s="9"/>
      <c r="J27" s="9"/>
      <c r="K27" s="9"/>
      <c r="L27" s="9"/>
      <c r="M27" s="9"/>
      <c r="N27" s="9"/>
      <c r="O27" s="9"/>
      <c r="P27" s="9"/>
      <c r="Q27" s="9"/>
      <c r="R27" s="9"/>
      <c r="S27" s="9"/>
    </row>
    <row r="28" spans="1:19" x14ac:dyDescent="0.3">
      <c r="A28" s="9"/>
      <c r="B28" s="9"/>
      <c r="C28" s="9"/>
      <c r="D28" s="9"/>
      <c r="E28" s="9"/>
      <c r="F28" s="9"/>
      <c r="G28" s="9"/>
      <c r="H28" s="9"/>
      <c r="I28" s="9"/>
      <c r="J28" s="9"/>
      <c r="K28" s="9"/>
      <c r="L28" s="9"/>
      <c r="M28" s="9"/>
      <c r="N28" s="9"/>
      <c r="O28" s="9"/>
      <c r="P28" s="9"/>
      <c r="Q28" s="9"/>
      <c r="R28" s="9"/>
      <c r="S28" s="9"/>
    </row>
    <row r="29" spans="1:19" x14ac:dyDescent="0.3">
      <c r="A29" s="9"/>
      <c r="B29" s="9"/>
      <c r="C29" s="9"/>
      <c r="D29" s="9"/>
      <c r="E29" s="9"/>
      <c r="F29" s="9"/>
      <c r="G29" s="9"/>
      <c r="H29" s="9"/>
      <c r="I29" s="9"/>
      <c r="J29" s="9"/>
      <c r="K29" s="9"/>
      <c r="L29" s="9"/>
      <c r="M29" s="9"/>
      <c r="N29" s="9"/>
      <c r="O29" s="9"/>
      <c r="P29" s="9"/>
      <c r="Q29" s="9"/>
      <c r="R29" s="9"/>
      <c r="S29" s="9"/>
    </row>
    <row r="30" spans="1:19" x14ac:dyDescent="0.3">
      <c r="A30" s="9"/>
      <c r="B30" s="9"/>
      <c r="C30" s="9"/>
      <c r="D30" s="9"/>
      <c r="E30" s="9"/>
      <c r="F30" s="9"/>
      <c r="G30" s="9"/>
      <c r="H30" s="9"/>
      <c r="I30" s="9"/>
      <c r="J30" s="9"/>
      <c r="K30" s="9"/>
      <c r="L30" s="9"/>
      <c r="M30" s="9"/>
      <c r="N30" s="9"/>
      <c r="O30" s="9"/>
      <c r="P30" s="9"/>
      <c r="Q30" s="9"/>
      <c r="R30" s="9"/>
      <c r="S30" s="9"/>
    </row>
    <row r="31" spans="1:19" x14ac:dyDescent="0.3">
      <c r="A31" s="9"/>
      <c r="B31" s="9"/>
      <c r="C31" s="9"/>
      <c r="D31" s="9"/>
      <c r="E31" s="9"/>
      <c r="F31" s="9"/>
      <c r="G31" s="9"/>
      <c r="H31" s="9"/>
      <c r="I31" s="9"/>
      <c r="J31" s="9"/>
      <c r="K31" s="9"/>
      <c r="L31" s="9"/>
      <c r="M31" s="9"/>
      <c r="N31" s="9"/>
      <c r="O31" s="9"/>
      <c r="P31" s="9"/>
      <c r="Q31" s="9"/>
      <c r="R31" s="9"/>
      <c r="S31" s="9"/>
    </row>
    <row r="32" spans="1:19" x14ac:dyDescent="0.3">
      <c r="A32" s="9"/>
      <c r="B32" s="9"/>
      <c r="C32" s="9"/>
      <c r="D32" s="9"/>
      <c r="E32" s="9"/>
      <c r="F32" s="9"/>
      <c r="G32" s="9"/>
      <c r="H32" s="9"/>
      <c r="I32" s="9"/>
      <c r="J32" s="9"/>
      <c r="K32" s="9"/>
      <c r="L32" s="9"/>
      <c r="M32" s="9"/>
      <c r="N32" s="9"/>
      <c r="O32" s="9"/>
      <c r="P32" s="9"/>
      <c r="Q32" s="9"/>
      <c r="R32" s="9"/>
      <c r="S32" s="9"/>
    </row>
    <row r="33" spans="1:19" x14ac:dyDescent="0.3">
      <c r="A33" s="9"/>
      <c r="B33" s="9"/>
      <c r="C33" s="9"/>
      <c r="D33" s="9"/>
      <c r="E33" s="9"/>
      <c r="F33" s="9"/>
      <c r="G33" s="9"/>
      <c r="H33" s="9"/>
      <c r="I33" s="9"/>
      <c r="J33" s="9"/>
      <c r="K33" s="9"/>
      <c r="L33" s="9"/>
      <c r="M33" s="9"/>
      <c r="N33" s="9"/>
      <c r="O33" s="9"/>
      <c r="P33" s="9"/>
      <c r="Q33" s="9"/>
      <c r="R33" s="9"/>
      <c r="S33" s="9"/>
    </row>
    <row r="34" spans="1:19" x14ac:dyDescent="0.3">
      <c r="A34" s="9"/>
      <c r="B34" s="9"/>
      <c r="C34" s="9"/>
      <c r="D34" s="9"/>
      <c r="E34" s="9"/>
      <c r="F34" s="9"/>
      <c r="G34" s="9"/>
      <c r="H34" s="9"/>
      <c r="I34" s="9"/>
      <c r="J34" s="9"/>
      <c r="K34" s="9"/>
      <c r="L34" s="9"/>
      <c r="M34" s="9"/>
      <c r="N34" s="9"/>
      <c r="O34" s="9"/>
      <c r="P34" s="9"/>
      <c r="Q34" s="9"/>
      <c r="R34" s="9"/>
      <c r="S34" s="9"/>
    </row>
    <row r="35" spans="1:19" x14ac:dyDescent="0.3">
      <c r="A35" s="9"/>
      <c r="B35" s="9"/>
      <c r="C35" s="9"/>
      <c r="D35" s="9"/>
      <c r="E35" s="9"/>
      <c r="F35" s="9"/>
      <c r="G35" s="9"/>
      <c r="H35" s="9"/>
      <c r="I35" s="9"/>
      <c r="J35" s="9"/>
      <c r="K35" s="9"/>
      <c r="L35" s="9"/>
      <c r="M35" s="9"/>
      <c r="N35" s="9"/>
      <c r="O35" s="9"/>
      <c r="P35" s="9"/>
      <c r="Q35" s="9"/>
      <c r="R35" s="9"/>
      <c r="S35" s="9"/>
    </row>
    <row r="36" spans="1:19" x14ac:dyDescent="0.3">
      <c r="A36" s="9"/>
      <c r="B36" s="9"/>
      <c r="C36" s="9"/>
      <c r="D36" s="9"/>
      <c r="E36" s="9"/>
      <c r="F36" s="9"/>
      <c r="G36" s="9"/>
      <c r="H36" s="9"/>
      <c r="I36" s="9"/>
      <c r="J36" s="9"/>
      <c r="K36" s="9"/>
      <c r="L36" s="9"/>
      <c r="M36" s="9"/>
      <c r="N36" s="9"/>
      <c r="O36" s="9"/>
      <c r="P36" s="9"/>
      <c r="Q36" s="9"/>
      <c r="R36" s="9"/>
      <c r="S36" s="9"/>
    </row>
    <row r="37" spans="1:19" x14ac:dyDescent="0.3">
      <c r="A37" s="9"/>
      <c r="B37" s="9"/>
      <c r="C37" s="9"/>
      <c r="D37" s="9"/>
      <c r="E37" s="9"/>
      <c r="F37" s="9"/>
      <c r="G37" s="9"/>
      <c r="H37" s="9"/>
      <c r="I37" s="9"/>
      <c r="J37" s="9"/>
      <c r="K37" s="9"/>
      <c r="L37" s="9"/>
      <c r="M37" s="9"/>
      <c r="N37" s="9"/>
      <c r="O37" s="9"/>
      <c r="P37" s="9"/>
      <c r="Q37" s="9"/>
      <c r="R37" s="9"/>
      <c r="S37" s="9"/>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Milk Production Dataset</vt:lpstr>
      <vt:lpstr>Summary of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chandrakala prakash</cp:lastModifiedBy>
  <dcterms:created xsi:type="dcterms:W3CDTF">2025-09-12T14:00:41Z</dcterms:created>
  <dcterms:modified xsi:type="dcterms:W3CDTF">2025-09-19T06:54:53Z</dcterms:modified>
</cp:coreProperties>
</file>